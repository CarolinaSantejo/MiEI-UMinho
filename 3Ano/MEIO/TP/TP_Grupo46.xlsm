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ctrlProps/ctrlProp2.xml" ContentType="application/vnd.ms-excel.controlproperties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MIEI\3º Ano\2º Semestre\MEIO\TP\"/>
    </mc:Choice>
  </mc:AlternateContent>
  <xr:revisionPtr revIDLastSave="0" documentId="13_ncr:1_{08420E2C-5B6E-47F0-8811-2DC1DBD1D832}" xr6:coauthVersionLast="46" xr6:coauthVersionMax="46" xr10:uidLastSave="{00000000-0000-0000-0000-000000000000}"/>
  <bookViews>
    <workbookView xWindow="-28920" yWindow="-120" windowWidth="29040" windowHeight="15840" firstSheet="2" activeTab="7" xr2:uid="{6FDEFFDB-71F5-4D4C-8838-C4EDC60A5055}"/>
  </bookViews>
  <sheets>
    <sheet name="Capa" sheetId="1" r:id="rId1"/>
    <sheet name="Atual-N.Encomenda" sheetId="4" r:id="rId2"/>
    <sheet name="TabelaProcuras" sheetId="2" r:id="rId3"/>
    <sheet name="Política(s,S)" sheetId="6" r:id="rId4"/>
    <sheet name="Modelo de Simulação" sheetId="7" r:id="rId5"/>
    <sheet name="Simulações de s e S - CT" sheetId="8" r:id="rId6"/>
    <sheet name="Simulações de s e S - NS" sheetId="11" r:id="rId7"/>
    <sheet name="Análise Estatística" sheetId="12" r:id="rId8"/>
  </sheets>
  <definedNames>
    <definedName name="DadosExternos_1" localSheetId="2" hidden="1">TabelaProcuras!$A$1:$D$51</definedName>
    <definedName name="solver_adj" localSheetId="5" hidden="1">'Simulações de s e S - CT'!#REF!</definedName>
    <definedName name="solver_eng" localSheetId="5" hidden="1">1</definedName>
    <definedName name="solver_neg" localSheetId="5" hidden="1">1</definedName>
    <definedName name="solver_num" localSheetId="5" hidden="1">0</definedName>
    <definedName name="solver_opt" localSheetId="5" hidden="1">'Simulações de s e S - CT'!#REF!</definedName>
    <definedName name="solver_typ" localSheetId="5" hidden="1">2</definedName>
    <definedName name="solver_val" localSheetId="5" hidden="1">0</definedName>
    <definedName name="solver_ver" localSheetId="5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2" i="6" l="1"/>
  <c r="D51" i="6"/>
  <c r="D57" i="6"/>
  <c r="K49" i="6"/>
  <c r="C49" i="6"/>
  <c r="C46" i="6"/>
  <c r="K44" i="6"/>
  <c r="K45" i="6" s="1"/>
  <c r="K43" i="6"/>
  <c r="C43" i="6"/>
  <c r="AC4" i="7"/>
  <c r="AF4" i="7"/>
  <c r="AE5" i="7"/>
  <c r="AE6" i="7"/>
  <c r="AE7" i="7"/>
  <c r="AE8" i="7"/>
  <c r="AE9" i="7"/>
  <c r="AE10" i="7"/>
  <c r="AE11" i="7"/>
  <c r="AE12" i="7"/>
  <c r="AE13" i="7"/>
  <c r="AE14" i="7"/>
  <c r="AE15" i="7"/>
  <c r="AE16" i="7"/>
  <c r="AE17" i="7"/>
  <c r="AE18" i="7"/>
  <c r="AE19" i="7"/>
  <c r="AE20" i="7"/>
  <c r="AE21" i="7"/>
  <c r="AE22" i="7"/>
  <c r="AE23" i="7"/>
  <c r="AE24" i="7"/>
  <c r="AE25" i="7"/>
  <c r="AE26" i="7"/>
  <c r="AE27" i="7"/>
  <c r="AE28" i="7"/>
  <c r="AE29" i="7"/>
  <c r="AE30" i="7"/>
  <c r="AE31" i="7"/>
  <c r="AE32" i="7"/>
  <c r="AE33" i="7"/>
  <c r="AE34" i="7"/>
  <c r="AE35" i="7"/>
  <c r="AE36" i="7"/>
  <c r="AE37" i="7"/>
  <c r="AE38" i="7"/>
  <c r="AE39" i="7"/>
  <c r="AE40" i="7"/>
  <c r="AE41" i="7"/>
  <c r="AE42" i="7"/>
  <c r="AE43" i="7"/>
  <c r="AE44" i="7"/>
  <c r="AE45" i="7"/>
  <c r="AE46" i="7"/>
  <c r="AE47" i="7"/>
  <c r="AE48" i="7"/>
  <c r="AE49" i="7"/>
  <c r="AE50" i="7"/>
  <c r="AE51" i="7"/>
  <c r="AE52" i="7"/>
  <c r="AE53" i="7"/>
  <c r="AE4" i="7"/>
  <c r="AD4" i="7"/>
  <c r="AD5" i="7"/>
  <c r="AD6" i="7"/>
  <c r="AD7" i="7"/>
  <c r="AD8" i="7"/>
  <c r="AD9" i="7"/>
  <c r="AD10" i="7"/>
  <c r="AD11" i="7"/>
  <c r="AD12" i="7"/>
  <c r="AD13" i="7"/>
  <c r="AD14" i="7"/>
  <c r="AD15" i="7"/>
  <c r="AD16" i="7"/>
  <c r="AD17" i="7"/>
  <c r="AD18" i="7"/>
  <c r="AD19" i="7"/>
  <c r="AD20" i="7"/>
  <c r="AD21" i="7"/>
  <c r="AD22" i="7"/>
  <c r="AD23" i="7"/>
  <c r="AD24" i="7"/>
  <c r="AD25" i="7"/>
  <c r="AD26" i="7"/>
  <c r="AD27" i="7"/>
  <c r="AD28" i="7"/>
  <c r="AD29" i="7"/>
  <c r="AD30" i="7"/>
  <c r="AD31" i="7"/>
  <c r="AD32" i="7"/>
  <c r="AD33" i="7"/>
  <c r="AD34" i="7"/>
  <c r="AD35" i="7"/>
  <c r="AD36" i="7"/>
  <c r="AD37" i="7"/>
  <c r="AD38" i="7"/>
  <c r="AD39" i="7"/>
  <c r="AD40" i="7"/>
  <c r="AD41" i="7"/>
  <c r="AD42" i="7"/>
  <c r="AD43" i="7"/>
  <c r="AD44" i="7"/>
  <c r="AD45" i="7"/>
  <c r="AD46" i="7"/>
  <c r="AD47" i="7"/>
  <c r="AD48" i="7"/>
  <c r="AD49" i="7"/>
  <c r="AD50" i="7"/>
  <c r="AD51" i="7"/>
  <c r="AD52" i="7"/>
  <c r="AD53" i="7"/>
  <c r="AC5" i="7"/>
  <c r="AC6" i="7"/>
  <c r="AC7" i="7"/>
  <c r="AC8" i="7"/>
  <c r="AC9" i="7"/>
  <c r="AC10" i="7"/>
  <c r="AC11" i="7"/>
  <c r="AC12" i="7"/>
  <c r="AC13" i="7"/>
  <c r="AC14" i="7"/>
  <c r="AC15" i="7"/>
  <c r="AC16" i="7"/>
  <c r="AC17" i="7"/>
  <c r="AC18" i="7"/>
  <c r="AC19" i="7"/>
  <c r="AC20" i="7"/>
  <c r="AC21" i="7"/>
  <c r="AC22" i="7"/>
  <c r="AC23" i="7"/>
  <c r="AC24" i="7"/>
  <c r="AC25" i="7"/>
  <c r="AC26" i="7"/>
  <c r="AC27" i="7"/>
  <c r="AC28" i="7"/>
  <c r="AC29" i="7"/>
  <c r="AC30" i="7"/>
  <c r="AC31" i="7"/>
  <c r="AC32" i="7"/>
  <c r="AC33" i="7"/>
  <c r="AC34" i="7"/>
  <c r="AC35" i="7"/>
  <c r="AC36" i="7"/>
  <c r="AC37" i="7"/>
  <c r="AC38" i="7"/>
  <c r="AC39" i="7"/>
  <c r="AC40" i="7"/>
  <c r="AC41" i="7"/>
  <c r="AC42" i="7"/>
  <c r="AC43" i="7"/>
  <c r="AC44" i="7"/>
  <c r="AC45" i="7"/>
  <c r="AC46" i="7"/>
  <c r="AC47" i="7"/>
  <c r="AC48" i="7"/>
  <c r="AC49" i="7"/>
  <c r="AC50" i="7"/>
  <c r="AC51" i="7"/>
  <c r="AC52" i="7"/>
  <c r="AC53" i="7"/>
  <c r="C37" i="6"/>
  <c r="P31" i="4"/>
  <c r="J31" i="4"/>
  <c r="D58" i="6"/>
  <c r="R35" i="2"/>
  <c r="P35" i="2"/>
  <c r="L53" i="7"/>
  <c r="L52" i="6" l="1"/>
  <c r="K39" i="6"/>
  <c r="K37" i="6"/>
  <c r="L7" i="7"/>
  <c r="C45" i="6"/>
  <c r="C39" i="6"/>
  <c r="K15" i="6"/>
  <c r="K14" i="6"/>
  <c r="K13" i="6"/>
  <c r="C15" i="6"/>
  <c r="C14" i="6"/>
  <c r="C13" i="6"/>
  <c r="J15" i="6"/>
  <c r="J14" i="6"/>
  <c r="J13" i="6"/>
  <c r="B15" i="6"/>
  <c r="B14" i="6"/>
  <c r="B13" i="6"/>
  <c r="AF5" i="7" l="1"/>
  <c r="E4" i="7"/>
  <c r="L13" i="6"/>
  <c r="K38" i="6" s="1"/>
  <c r="K40" i="6" s="1"/>
  <c r="D14" i="6"/>
  <c r="D15" i="6"/>
  <c r="D13" i="6"/>
  <c r="C38" i="6" s="1"/>
  <c r="C40" i="6" s="1"/>
  <c r="L14" i="6"/>
  <c r="L15" i="6"/>
  <c r="L51" i="6" l="1"/>
  <c r="C50" i="6"/>
  <c r="K46" i="6"/>
  <c r="K47" i="6" s="1"/>
  <c r="K48" i="6" s="1"/>
  <c r="K50" i="6"/>
  <c r="B8" i="7"/>
  <c r="B21" i="8" s="1"/>
  <c r="C47" i="6"/>
  <c r="C48" i="6" s="1"/>
  <c r="D56" i="6" l="1"/>
  <c r="B21" i="11"/>
  <c r="B9" i="7"/>
  <c r="P39" i="2"/>
  <c r="R39" i="2"/>
  <c r="B20" i="11" l="1"/>
  <c r="B19" i="11" s="1"/>
  <c r="B18" i="11" s="1"/>
  <c r="B17" i="11" s="1"/>
  <c r="B16" i="11" s="1"/>
  <c r="B15" i="11" s="1"/>
  <c r="B14" i="11" s="1"/>
  <c r="B13" i="11" s="1"/>
  <c r="B12" i="11" s="1"/>
  <c r="B11" i="11" s="1"/>
  <c r="B10" i="11" s="1"/>
  <c r="B9" i="11" s="1"/>
  <c r="B8" i="11" s="1"/>
  <c r="B7" i="11" s="1"/>
  <c r="B6" i="11" s="1"/>
  <c r="B5" i="11" s="1"/>
  <c r="B22" i="1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S4" i="8"/>
  <c r="S4" i="11"/>
  <c r="B22" i="8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20" i="8"/>
  <c r="B19" i="8" s="1"/>
  <c r="B18" i="8" s="1"/>
  <c r="B17" i="8" s="1"/>
  <c r="B16" i="8" s="1"/>
  <c r="B15" i="8" s="1"/>
  <c r="B14" i="8" s="1"/>
  <c r="B13" i="8" s="1"/>
  <c r="B12" i="8" s="1"/>
  <c r="B11" i="8" s="1"/>
  <c r="B10" i="8" s="1"/>
  <c r="B9" i="8" s="1"/>
  <c r="B8" i="8" s="1"/>
  <c r="B7" i="8" s="1"/>
  <c r="B6" i="8" s="1"/>
  <c r="B5" i="8" s="1"/>
  <c r="Q44" i="2"/>
  <c r="Q43" i="2"/>
  <c r="S25" i="2"/>
  <c r="R37" i="2"/>
  <c r="S28" i="2"/>
  <c r="S27" i="2"/>
  <c r="S24" i="2"/>
  <c r="S21" i="2"/>
  <c r="S20" i="2"/>
  <c r="S23" i="2"/>
  <c r="S17" i="2"/>
  <c r="S14" i="2"/>
  <c r="S13" i="2"/>
  <c r="S16" i="2"/>
  <c r="S18" i="2" s="1"/>
  <c r="S11" i="2"/>
  <c r="S10" i="2"/>
  <c r="S7" i="2"/>
  <c r="S6" i="2"/>
  <c r="Q6" i="2"/>
  <c r="Q7" i="2" s="1"/>
  <c r="S9" i="2"/>
  <c r="P37" i="2"/>
  <c r="Q11" i="2"/>
  <c r="Q18" i="2"/>
  <c r="Q21" i="2"/>
  <c r="Q20" i="2"/>
  <c r="Q14" i="2"/>
  <c r="Q17" i="2"/>
  <c r="Q13" i="2"/>
  <c r="H11" i="2"/>
  <c r="Q10" i="2"/>
  <c r="R4" i="11" l="1"/>
  <c r="Q4" i="11" s="1"/>
  <c r="P4" i="11" s="1"/>
  <c r="O4" i="11" s="1"/>
  <c r="N4" i="11" s="1"/>
  <c r="M4" i="11" s="1"/>
  <c r="L4" i="11" s="1"/>
  <c r="K4" i="11" s="1"/>
  <c r="J4" i="11" s="1"/>
  <c r="I4" i="11" s="1"/>
  <c r="H4" i="11" s="1"/>
  <c r="G4" i="11" s="1"/>
  <c r="F4" i="11" s="1"/>
  <c r="E4" i="11" s="1"/>
  <c r="D4" i="11" s="1"/>
  <c r="C4" i="11" s="1"/>
  <c r="T4" i="11"/>
  <c r="U4" i="11" s="1"/>
  <c r="V4" i="11" s="1"/>
  <c r="W4" i="11" s="1"/>
  <c r="X4" i="11" s="1"/>
  <c r="Y4" i="11" s="1"/>
  <c r="Z4" i="11" s="1"/>
  <c r="AA4" i="11" s="1"/>
  <c r="AB4" i="11" s="1"/>
  <c r="AC4" i="11" s="1"/>
  <c r="AD4" i="11" s="1"/>
  <c r="AE4" i="11" s="1"/>
  <c r="AF4" i="11" s="1"/>
  <c r="AG4" i="11" s="1"/>
  <c r="AH4" i="11" s="1"/>
  <c r="AI4" i="11" s="1"/>
  <c r="T4" i="8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R4" i="8"/>
  <c r="Q4" i="8" s="1"/>
  <c r="P4" i="8" s="1"/>
  <c r="O4" i="8" s="1"/>
  <c r="N4" i="8" s="1"/>
  <c r="M4" i="8" s="1"/>
  <c r="L4" i="8" s="1"/>
  <c r="K4" i="8" s="1"/>
  <c r="J4" i="8" s="1"/>
  <c r="I4" i="8" s="1"/>
  <c r="H4" i="8" s="1"/>
  <c r="G4" i="8" s="1"/>
  <c r="F4" i="8" s="1"/>
  <c r="E4" i="8" s="1"/>
  <c r="D4" i="8" s="1"/>
  <c r="C4" i="8" s="1"/>
  <c r="Q16" i="2"/>
  <c r="Q9" i="2"/>
  <c r="AF50" i="7" l="1"/>
  <c r="AF51" i="7"/>
  <c r="AF52" i="7"/>
  <c r="AF53" i="7"/>
  <c r="H4" i="7"/>
  <c r="I4" i="7" s="1"/>
  <c r="AF6" i="7"/>
  <c r="AF7" i="7"/>
  <c r="AF8" i="7"/>
  <c r="AF9" i="7"/>
  <c r="AF10" i="7"/>
  <c r="AF11" i="7"/>
  <c r="AF12" i="7"/>
  <c r="AF13" i="7"/>
  <c r="AF14" i="7"/>
  <c r="AF15" i="7"/>
  <c r="AF16" i="7"/>
  <c r="AF17" i="7"/>
  <c r="AF18" i="7"/>
  <c r="AF19" i="7"/>
  <c r="AF20" i="7"/>
  <c r="AF21" i="7"/>
  <c r="AF22" i="7"/>
  <c r="AF23" i="7"/>
  <c r="AF24" i="7"/>
  <c r="AF25" i="7"/>
  <c r="AF27" i="7"/>
  <c r="AF28" i="7"/>
  <c r="AF29" i="7"/>
  <c r="AF31" i="7"/>
  <c r="AF32" i="7"/>
  <c r="AF33" i="7"/>
  <c r="AF34" i="7"/>
  <c r="AF35" i="7"/>
  <c r="AF36" i="7"/>
  <c r="AF37" i="7"/>
  <c r="AF39" i="7"/>
  <c r="AF40" i="7"/>
  <c r="AF41" i="7"/>
  <c r="AF42" i="7"/>
  <c r="AF43" i="7"/>
  <c r="AF44" i="7"/>
  <c r="AF45" i="7"/>
  <c r="AF47" i="7"/>
  <c r="AF48" i="7"/>
  <c r="AF49" i="7"/>
  <c r="AF26" i="7"/>
  <c r="AB5" i="7"/>
  <c r="AB6" i="7" s="1"/>
  <c r="AB7" i="7" s="1"/>
  <c r="AB8" i="7" s="1"/>
  <c r="AB9" i="7" s="1"/>
  <c r="AB10" i="7" s="1"/>
  <c r="AB11" i="7" s="1"/>
  <c r="AB12" i="7" s="1"/>
  <c r="AB13" i="7" s="1"/>
  <c r="AB14" i="7" s="1"/>
  <c r="AB15" i="7" s="1"/>
  <c r="AB16" i="7" s="1"/>
  <c r="AB17" i="7" s="1"/>
  <c r="AB18" i="7" s="1"/>
  <c r="AB19" i="7" s="1"/>
  <c r="AB20" i="7" s="1"/>
  <c r="AB21" i="7" s="1"/>
  <c r="AB22" i="7" s="1"/>
  <c r="AB23" i="7" s="1"/>
  <c r="AB24" i="7" s="1"/>
  <c r="AB25" i="7" s="1"/>
  <c r="AB26" i="7" s="1"/>
  <c r="AB27" i="7" s="1"/>
  <c r="AB28" i="7" s="1"/>
  <c r="AB29" i="7" s="1"/>
  <c r="AB30" i="7" s="1"/>
  <c r="AB31" i="7" s="1"/>
  <c r="AB32" i="7" s="1"/>
  <c r="AB33" i="7" s="1"/>
  <c r="AB34" i="7" s="1"/>
  <c r="AB35" i="7" s="1"/>
  <c r="AB36" i="7" s="1"/>
  <c r="AB37" i="7" s="1"/>
  <c r="AB38" i="7" s="1"/>
  <c r="AB39" i="7" s="1"/>
  <c r="AB40" i="7" s="1"/>
  <c r="AB41" i="7" s="1"/>
  <c r="AB42" i="7" s="1"/>
  <c r="AB43" i="7" s="1"/>
  <c r="AB44" i="7" s="1"/>
  <c r="AB45" i="7" s="1"/>
  <c r="AB46" i="7" s="1"/>
  <c r="AB47" i="7" s="1"/>
  <c r="AB48" i="7" s="1"/>
  <c r="AB49" i="7" s="1"/>
  <c r="AB50" i="7" s="1"/>
  <c r="AB51" i="7" s="1"/>
  <c r="AB52" i="7" s="1"/>
  <c r="AB53" i="7" s="1"/>
  <c r="D5" i="7"/>
  <c r="D6" i="7" s="1"/>
  <c r="D7" i="7" s="1"/>
  <c r="D8" i="7" s="1"/>
  <c r="D9" i="7" s="1"/>
  <c r="D10" i="7" s="1"/>
  <c r="D11" i="7" s="1"/>
  <c r="D12" i="7" s="1"/>
  <c r="D13" i="7" s="1"/>
  <c r="D14" i="7" s="1"/>
  <c r="D15" i="7" s="1"/>
  <c r="D16" i="7" s="1"/>
  <c r="D17" i="7" s="1"/>
  <c r="D18" i="7" s="1"/>
  <c r="D19" i="7" s="1"/>
  <c r="D20" i="7" s="1"/>
  <c r="D21" i="7" s="1"/>
  <c r="D22" i="7" s="1"/>
  <c r="D23" i="7" s="1"/>
  <c r="D24" i="7" s="1"/>
  <c r="D25" i="7" s="1"/>
  <c r="D26" i="7" s="1"/>
  <c r="D27" i="7" s="1"/>
  <c r="D28" i="7" s="1"/>
  <c r="D29" i="7" s="1"/>
  <c r="D30" i="7" s="1"/>
  <c r="D31" i="7" s="1"/>
  <c r="D32" i="7" s="1"/>
  <c r="D33" i="7" s="1"/>
  <c r="D34" i="7" s="1"/>
  <c r="D35" i="7" s="1"/>
  <c r="D36" i="7" s="1"/>
  <c r="D37" i="7" s="1"/>
  <c r="D38" i="7" s="1"/>
  <c r="D39" i="7" s="1"/>
  <c r="D40" i="7" s="1"/>
  <c r="D41" i="7" s="1"/>
  <c r="D42" i="7" s="1"/>
  <c r="D43" i="7" s="1"/>
  <c r="D44" i="7" s="1"/>
  <c r="D45" i="7" s="1"/>
  <c r="D46" i="7" s="1"/>
  <c r="D47" i="7" s="1"/>
  <c r="D48" i="7" s="1"/>
  <c r="D49" i="7" s="1"/>
  <c r="D50" i="7" s="1"/>
  <c r="D51" i="7" s="1"/>
  <c r="D52" i="7" s="1"/>
  <c r="D53" i="7" s="1"/>
  <c r="AF30" i="7" l="1"/>
  <c r="AF38" i="7"/>
  <c r="AF46" i="7"/>
  <c r="AF54" i="7" l="1"/>
  <c r="H54" i="7" s="1"/>
  <c r="F4" i="7"/>
  <c r="G4" i="7" s="1"/>
  <c r="J4" i="7" l="1"/>
  <c r="H5" i="7" s="1"/>
  <c r="L4" i="7"/>
  <c r="R4" i="7" s="1"/>
  <c r="M4" i="7"/>
  <c r="P4" i="7"/>
  <c r="N22" i="4"/>
  <c r="N23" i="4" s="1"/>
  <c r="N26" i="4"/>
  <c r="H22" i="4"/>
  <c r="H23" i="4" s="1"/>
  <c r="H26" i="4"/>
  <c r="F31" i="4" s="1"/>
  <c r="N21" i="4"/>
  <c r="H21" i="4"/>
  <c r="N6" i="4"/>
  <c r="H14" i="2"/>
  <c r="H7" i="2"/>
  <c r="G12" i="4"/>
  <c r="C11" i="4"/>
  <c r="C10" i="4"/>
  <c r="D54" i="2"/>
  <c r="C54" i="2"/>
  <c r="B54" i="2"/>
  <c r="D53" i="2"/>
  <c r="C53" i="2"/>
  <c r="B53" i="2"/>
  <c r="B55" i="2" l="1"/>
  <c r="Q4" i="7"/>
  <c r="S4" i="7" s="1"/>
  <c r="K4" i="7"/>
  <c r="L29" i="4"/>
  <c r="L31" i="4"/>
  <c r="G36" i="4" s="1"/>
  <c r="F29" i="4"/>
  <c r="D55" i="2"/>
  <c r="B56" i="2"/>
  <c r="C56" i="2"/>
  <c r="D56" i="2"/>
  <c r="N11" i="4" s="1"/>
  <c r="L14" i="4" s="1"/>
  <c r="H4" i="2"/>
  <c r="H5" i="2" s="1"/>
  <c r="C55" i="2"/>
  <c r="G35" i="4" l="1"/>
  <c r="N7" i="4"/>
  <c r="N8" i="4" s="1"/>
  <c r="H8" i="2"/>
  <c r="H12" i="2" s="1"/>
  <c r="H15" i="2"/>
  <c r="H18" i="2" s="1"/>
  <c r="H9" i="2"/>
  <c r="H16" i="2"/>
  <c r="K28" i="2" s="1"/>
  <c r="H19" i="2" l="1"/>
  <c r="G27" i="2"/>
  <c r="K27" i="2"/>
  <c r="N4" i="7" l="1"/>
  <c r="O4" i="7" s="1"/>
  <c r="E5" i="7" s="1"/>
  <c r="I5" i="7" l="1"/>
  <c r="J5" i="7" s="1"/>
  <c r="K5" i="7" l="1"/>
  <c r="H6" i="7"/>
  <c r="F5" i="7"/>
  <c r="R5" i="7" s="1"/>
  <c r="Q5" i="7"/>
  <c r="G5" i="7" l="1"/>
  <c r="P5" i="7" s="1"/>
  <c r="S5" i="7" s="1"/>
  <c r="M5" i="7"/>
  <c r="N5" i="7"/>
  <c r="O5" i="7" s="1"/>
  <c r="E6" i="7" l="1"/>
  <c r="I6" i="7" l="1"/>
  <c r="J6" i="7" s="1"/>
  <c r="K6" i="7" l="1"/>
  <c r="H7" i="7"/>
  <c r="F6" i="7"/>
  <c r="Q6" i="7"/>
  <c r="R6" i="7" l="1"/>
  <c r="G6" i="7"/>
  <c r="P6" i="7" s="1"/>
  <c r="S6" i="7" s="1"/>
  <c r="M6" i="7"/>
  <c r="N6" i="7"/>
  <c r="O6" i="7" s="1"/>
  <c r="E7" i="7" l="1"/>
  <c r="I7" i="7" s="1"/>
  <c r="J7" i="7" s="1"/>
  <c r="K7" i="7" l="1"/>
  <c r="H8" i="7"/>
  <c r="F7" i="7"/>
  <c r="R7" i="7" s="1"/>
  <c r="Q7" i="7"/>
  <c r="M7" i="7" l="1"/>
  <c r="G7" i="7"/>
  <c r="P7" i="7" s="1"/>
  <c r="S7" i="7" s="1"/>
  <c r="N7" i="7"/>
  <c r="O7" i="7" s="1"/>
  <c r="E8" i="7" l="1"/>
  <c r="I8" i="7" l="1"/>
  <c r="J8" i="7" s="1"/>
  <c r="K8" i="7" l="1"/>
  <c r="H9" i="7"/>
  <c r="F8" i="7"/>
  <c r="L8" i="7" s="1"/>
  <c r="R8" i="7" s="1"/>
  <c r="Q8" i="7"/>
  <c r="G8" i="7" l="1"/>
  <c r="P8" i="7" s="1"/>
  <c r="S8" i="7" s="1"/>
  <c r="M8" i="7"/>
  <c r="N8" i="7"/>
  <c r="O8" i="7" s="1"/>
  <c r="E9" i="7" l="1"/>
  <c r="I9" i="7" l="1"/>
  <c r="J9" i="7" s="1"/>
  <c r="K9" i="7" l="1"/>
  <c r="H10" i="7"/>
  <c r="F9" i="7"/>
  <c r="R9" i="7" s="1"/>
  <c r="Q9" i="7"/>
  <c r="G9" i="7" l="1"/>
  <c r="P9" i="7" s="1"/>
  <c r="S9" i="7" s="1"/>
  <c r="N9" i="7"/>
  <c r="O9" i="7" s="1"/>
  <c r="M9" i="7"/>
  <c r="E10" i="7" l="1"/>
  <c r="I10" i="7" l="1"/>
  <c r="J10" i="7" s="1"/>
  <c r="K10" i="7" l="1"/>
  <c r="H11" i="7"/>
  <c r="F10" i="7"/>
  <c r="R10" i="7" s="1"/>
  <c r="Q10" i="7"/>
  <c r="M10" i="7" l="1"/>
  <c r="N10" i="7"/>
  <c r="O10" i="7" s="1"/>
  <c r="G10" i="7"/>
  <c r="P10" i="7" s="1"/>
  <c r="S10" i="7" s="1"/>
  <c r="E11" i="7" l="1"/>
  <c r="I11" i="7" s="1"/>
  <c r="J11" i="7" s="1"/>
  <c r="K11" i="7" l="1"/>
  <c r="H12" i="7"/>
  <c r="F11" i="7"/>
  <c r="R11" i="7" s="1"/>
  <c r="Q11" i="7"/>
  <c r="M11" i="7" l="1"/>
  <c r="N11" i="7"/>
  <c r="O11" i="7" s="1"/>
  <c r="G11" i="7"/>
  <c r="P11" i="7" s="1"/>
  <c r="S11" i="7" s="1"/>
  <c r="E12" i="7" l="1"/>
  <c r="I12" i="7" s="1"/>
  <c r="J12" i="7" s="1"/>
  <c r="K12" i="7" l="1"/>
  <c r="H13" i="7"/>
  <c r="F12" i="7"/>
  <c r="Q12" i="7"/>
  <c r="L12" i="7" l="1"/>
  <c r="R12" i="7" s="1"/>
  <c r="G12" i="7"/>
  <c r="P12" i="7" s="1"/>
  <c r="N12" i="7" l="1"/>
  <c r="O12" i="7" s="1"/>
  <c r="M12" i="7"/>
  <c r="S12" i="7"/>
  <c r="E13" i="7" l="1"/>
  <c r="I13" i="7" s="1"/>
  <c r="J13" i="7" l="1"/>
  <c r="H14" i="7" s="1"/>
  <c r="F13" i="7"/>
  <c r="R13" i="7" s="1"/>
  <c r="M13" i="7"/>
  <c r="N13" i="7"/>
  <c r="O13" i="7" s="1"/>
  <c r="Q13" i="7" l="1"/>
  <c r="K13" i="7"/>
  <c r="G13" i="7"/>
  <c r="P13" i="7" s="1"/>
  <c r="E14" i="7"/>
  <c r="I14" i="7" s="1"/>
  <c r="J14" i="7" s="1"/>
  <c r="K14" i="7" l="1"/>
  <c r="H15" i="7"/>
  <c r="S13" i="7"/>
  <c r="F14" i="7"/>
  <c r="G14" i="7" s="1"/>
  <c r="P14" i="7" s="1"/>
  <c r="Q14" i="7"/>
  <c r="R14" i="7" l="1"/>
  <c r="S14" i="7" s="1"/>
  <c r="M14" i="7" l="1"/>
  <c r="N14" i="7"/>
  <c r="O14" i="7" s="1"/>
  <c r="E15" i="7" l="1"/>
  <c r="I15" i="7" s="1"/>
  <c r="F15" i="7" l="1"/>
  <c r="G15" i="7" s="1"/>
  <c r="P15" i="7" s="1"/>
  <c r="J15" i="7"/>
  <c r="H16" i="7" s="1"/>
  <c r="R15" i="7"/>
  <c r="Q15" i="7" l="1"/>
  <c r="S15" i="7" s="1"/>
  <c r="K15" i="7"/>
  <c r="N15" i="7"/>
  <c r="O15" i="7" s="1"/>
  <c r="M15" i="7"/>
  <c r="E16" i="7" l="1"/>
  <c r="I16" i="7" s="1"/>
  <c r="J16" i="7" l="1"/>
  <c r="H17" i="7" s="1"/>
  <c r="F16" i="7"/>
  <c r="L16" i="7" s="1"/>
  <c r="R16" i="7" s="1"/>
  <c r="Q16" i="7" l="1"/>
  <c r="K16" i="7"/>
  <c r="G16" i="7"/>
  <c r="P16" i="7" s="1"/>
  <c r="M16" i="7"/>
  <c r="N16" i="7"/>
  <c r="O16" i="7" s="1"/>
  <c r="S16" i="7" l="1"/>
  <c r="E17" i="7"/>
  <c r="I17" i="7" s="1"/>
  <c r="J17" i="7" l="1"/>
  <c r="H18" i="7" s="1"/>
  <c r="F17" i="7"/>
  <c r="Q17" i="7" l="1"/>
  <c r="K17" i="7"/>
  <c r="G17" i="7"/>
  <c r="P17" i="7" s="1"/>
  <c r="R17" i="7" l="1"/>
  <c r="S17" i="7" s="1"/>
  <c r="N17" i="7"/>
  <c r="O17" i="7" s="1"/>
  <c r="M17" i="7"/>
  <c r="E18" i="7" l="1"/>
  <c r="I18" i="7" l="1"/>
  <c r="J18" i="7" l="1"/>
  <c r="H19" i="7" s="1"/>
  <c r="F18" i="7"/>
  <c r="Q18" i="7" l="1"/>
  <c r="K18" i="7"/>
  <c r="G18" i="7"/>
  <c r="P18" i="7" s="1"/>
  <c r="R18" i="7" l="1"/>
  <c r="S18" i="7" s="1"/>
  <c r="N18" i="7"/>
  <c r="O18" i="7" s="1"/>
  <c r="M18" i="7"/>
  <c r="E19" i="7" l="1"/>
  <c r="I19" i="7" l="1"/>
  <c r="J19" i="7" l="1"/>
  <c r="H20" i="7" s="1"/>
  <c r="F19" i="7"/>
  <c r="G19" i="7" s="1"/>
  <c r="P19" i="7" s="1"/>
  <c r="Q19" i="7" l="1"/>
  <c r="K19" i="7"/>
  <c r="R19" i="7"/>
  <c r="S19" i="7" l="1"/>
  <c r="M19" i="7"/>
  <c r="N19" i="7"/>
  <c r="O19" i="7" s="1"/>
  <c r="E20" i="7" l="1"/>
  <c r="I20" i="7" s="1"/>
  <c r="J20" i="7" l="1"/>
  <c r="H21" i="7" s="1"/>
  <c r="F20" i="7"/>
  <c r="G20" i="7" s="1"/>
  <c r="P20" i="7" s="1"/>
  <c r="Q20" i="7" l="1"/>
  <c r="K20" i="7"/>
  <c r="L20" i="7"/>
  <c r="R20" i="7" s="1"/>
  <c r="S20" i="7" l="1"/>
  <c r="M20" i="7"/>
  <c r="N20" i="7"/>
  <c r="O20" i="7" s="1"/>
  <c r="E21" i="7" l="1"/>
  <c r="I21" i="7" s="1"/>
  <c r="J21" i="7" l="1"/>
  <c r="H22" i="7" s="1"/>
  <c r="F21" i="7"/>
  <c r="Q21" i="7" l="1"/>
  <c r="K21" i="7"/>
  <c r="G21" i="7"/>
  <c r="P21" i="7" s="1"/>
  <c r="R21" i="7" l="1"/>
  <c r="S21" i="7" s="1"/>
  <c r="N21" i="7"/>
  <c r="O21" i="7" s="1"/>
  <c r="M21" i="7"/>
  <c r="E22" i="7" l="1"/>
  <c r="I22" i="7" s="1"/>
  <c r="J22" i="7" s="1"/>
  <c r="K22" i="7" l="1"/>
  <c r="H23" i="7"/>
  <c r="F22" i="7"/>
  <c r="Q22" i="7"/>
  <c r="G22" i="7" l="1"/>
  <c r="P22" i="7" s="1"/>
  <c r="M22" i="7"/>
  <c r="N22" i="7" l="1"/>
  <c r="O22" i="7" s="1"/>
  <c r="R22" i="7"/>
  <c r="S22" i="7" s="1"/>
  <c r="E23" i="7" l="1"/>
  <c r="I23" i="7" l="1"/>
  <c r="J23" i="7" s="1"/>
  <c r="K23" i="7" l="1"/>
  <c r="H24" i="7"/>
  <c r="F23" i="7"/>
  <c r="Q23" i="7"/>
  <c r="M23" i="7" l="1"/>
  <c r="G23" i="7"/>
  <c r="P23" i="7" s="1"/>
  <c r="R23" i="7" l="1"/>
  <c r="S23" i="7" s="1"/>
  <c r="N23" i="7"/>
  <c r="O23" i="7" s="1"/>
  <c r="E24" i="7" l="1"/>
  <c r="I24" i="7" l="1"/>
  <c r="J24" i="7" s="1"/>
  <c r="K24" i="7" l="1"/>
  <c r="H25" i="7"/>
  <c r="F24" i="7"/>
  <c r="Q24" i="7"/>
  <c r="L24" i="7" l="1"/>
  <c r="G24" i="7"/>
  <c r="P24" i="7" s="1"/>
  <c r="R24" i="7" l="1"/>
  <c r="S24" i="7" s="1"/>
  <c r="N24" i="7"/>
  <c r="O24" i="7" s="1"/>
  <c r="M24" i="7"/>
  <c r="E25" i="7" l="1"/>
  <c r="I25" i="7" l="1"/>
  <c r="J25" i="7" s="1"/>
  <c r="K25" i="7" l="1"/>
  <c r="H26" i="7"/>
  <c r="F25" i="7"/>
  <c r="Q25" i="7"/>
  <c r="G25" i="7" l="1"/>
  <c r="P25" i="7" s="1"/>
  <c r="R25" i="7" l="1"/>
  <c r="S25" i="7" s="1"/>
  <c r="N25" i="7"/>
  <c r="O25" i="7" s="1"/>
  <c r="M25" i="7"/>
  <c r="E26" i="7" l="1"/>
  <c r="I26" i="7" l="1"/>
  <c r="J26" i="7" s="1"/>
  <c r="K26" i="7" l="1"/>
  <c r="H27" i="7"/>
  <c r="F26" i="7"/>
  <c r="Q26" i="7"/>
  <c r="M26" i="7" l="1"/>
  <c r="G26" i="7"/>
  <c r="P26" i="7" s="1"/>
  <c r="R26" i="7" l="1"/>
  <c r="S26" i="7" s="1"/>
  <c r="N26" i="7"/>
  <c r="O26" i="7" s="1"/>
  <c r="E27" i="7" l="1"/>
  <c r="I27" i="7" l="1"/>
  <c r="J27" i="7" s="1"/>
  <c r="K27" i="7" l="1"/>
  <c r="H28" i="7"/>
  <c r="F27" i="7"/>
  <c r="Q27" i="7"/>
  <c r="G27" i="7" l="1"/>
  <c r="P27" i="7" s="1"/>
  <c r="R27" i="7" l="1"/>
  <c r="S27" i="7" s="1"/>
  <c r="N27" i="7"/>
  <c r="O27" i="7" s="1"/>
  <c r="M27" i="7"/>
  <c r="E28" i="7" l="1"/>
  <c r="I28" i="7" l="1"/>
  <c r="J28" i="7" s="1"/>
  <c r="K28" i="7" l="1"/>
  <c r="H29" i="7"/>
  <c r="F28" i="7"/>
  <c r="Q28" i="7"/>
  <c r="L28" i="7" l="1"/>
  <c r="G28" i="7"/>
  <c r="P28" i="7" s="1"/>
  <c r="R28" i="7" l="1"/>
  <c r="S28" i="7" s="1"/>
  <c r="N28" i="7"/>
  <c r="O28" i="7" s="1"/>
  <c r="M28" i="7"/>
  <c r="E29" i="7" l="1"/>
  <c r="I29" i="7" l="1"/>
  <c r="J29" i="7" s="1"/>
  <c r="K29" i="7" l="1"/>
  <c r="H30" i="7"/>
  <c r="F29" i="7"/>
  <c r="Q29" i="7"/>
  <c r="M29" i="7" l="1"/>
  <c r="G29" i="7"/>
  <c r="P29" i="7" s="1"/>
  <c r="R29" i="7" l="1"/>
  <c r="S29" i="7" s="1"/>
  <c r="N29" i="7"/>
  <c r="O29" i="7" s="1"/>
  <c r="E30" i="7" l="1"/>
  <c r="I30" i="7" l="1"/>
  <c r="J30" i="7" s="1"/>
  <c r="K30" i="7" l="1"/>
  <c r="H31" i="7"/>
  <c r="F30" i="7"/>
  <c r="Q30" i="7"/>
  <c r="G30" i="7" l="1"/>
  <c r="P30" i="7" s="1"/>
  <c r="R30" i="7" l="1"/>
  <c r="S30" i="7" s="1"/>
  <c r="N30" i="7"/>
  <c r="O30" i="7" s="1"/>
  <c r="M30" i="7"/>
  <c r="E31" i="7" l="1"/>
  <c r="I31" i="7" s="1"/>
  <c r="J31" i="7" s="1"/>
  <c r="K31" i="7" l="1"/>
  <c r="H32" i="7"/>
  <c r="F31" i="7"/>
  <c r="Q31" i="7"/>
  <c r="G31" i="7" l="1"/>
  <c r="P31" i="7" s="1"/>
  <c r="R31" i="7" l="1"/>
  <c r="S31" i="7" s="1"/>
  <c r="N31" i="7"/>
  <c r="O31" i="7" s="1"/>
  <c r="M31" i="7"/>
  <c r="E32" i="7" l="1"/>
  <c r="I32" i="7" l="1"/>
  <c r="J32" i="7" s="1"/>
  <c r="K32" i="7" l="1"/>
  <c r="H33" i="7"/>
  <c r="F32" i="7"/>
  <c r="Q32" i="7"/>
  <c r="L32" i="7" l="1"/>
  <c r="G32" i="7"/>
  <c r="P32" i="7" s="1"/>
  <c r="R32" i="7" l="1"/>
  <c r="S32" i="7" s="1"/>
  <c r="N32" i="7"/>
  <c r="O32" i="7" s="1"/>
  <c r="M32" i="7"/>
  <c r="E33" i="7" l="1"/>
  <c r="I33" i="7" l="1"/>
  <c r="J33" i="7" s="1"/>
  <c r="K33" i="7" l="1"/>
  <c r="H34" i="7"/>
  <c r="F33" i="7"/>
  <c r="Q33" i="7"/>
  <c r="G33" i="7" l="1"/>
  <c r="P33" i="7" s="1"/>
  <c r="R33" i="7" l="1"/>
  <c r="S33" i="7" s="1"/>
  <c r="N33" i="7"/>
  <c r="O33" i="7" s="1"/>
  <c r="M33" i="7"/>
  <c r="E34" i="7" l="1"/>
  <c r="I34" i="7" s="1"/>
  <c r="J34" i="7" s="1"/>
  <c r="K34" i="7" l="1"/>
  <c r="H35" i="7"/>
  <c r="F34" i="7"/>
  <c r="Q34" i="7"/>
  <c r="G34" i="7" l="1"/>
  <c r="P34" i="7" s="1"/>
  <c r="M34" i="7" l="1"/>
  <c r="R34" i="7"/>
  <c r="S34" i="7" s="1"/>
  <c r="N34" i="7"/>
  <c r="O34" i="7" s="1"/>
  <c r="E35" i="7" l="1"/>
  <c r="I35" i="7" l="1"/>
  <c r="J35" i="7" s="1"/>
  <c r="K35" i="7" l="1"/>
  <c r="H36" i="7"/>
  <c r="F35" i="7"/>
  <c r="Q35" i="7"/>
  <c r="G35" i="7" l="1"/>
  <c r="P35" i="7" s="1"/>
  <c r="R35" i="7" l="1"/>
  <c r="S35" i="7" s="1"/>
  <c r="N35" i="7"/>
  <c r="O35" i="7" s="1"/>
  <c r="M35" i="7"/>
  <c r="E36" i="7" l="1"/>
  <c r="I36" i="7" l="1"/>
  <c r="J36" i="7" s="1"/>
  <c r="K36" i="7" l="1"/>
  <c r="H37" i="7"/>
  <c r="F36" i="7"/>
  <c r="Q36" i="7"/>
  <c r="L36" i="7" l="1"/>
  <c r="G36" i="7"/>
  <c r="P36" i="7" s="1"/>
  <c r="N36" i="7" l="1"/>
  <c r="O36" i="7" s="1"/>
  <c r="R36" i="7"/>
  <c r="S36" i="7" s="1"/>
  <c r="M36" i="7"/>
  <c r="E37" i="7" l="1"/>
  <c r="I37" i="7" l="1"/>
  <c r="J37" i="7" s="1"/>
  <c r="K37" i="7" l="1"/>
  <c r="H38" i="7"/>
  <c r="F37" i="7"/>
  <c r="Q37" i="7"/>
  <c r="G37" i="7" l="1"/>
  <c r="P37" i="7" s="1"/>
  <c r="N37" i="7" l="1"/>
  <c r="O37" i="7" s="1"/>
  <c r="R37" i="7"/>
  <c r="S37" i="7" s="1"/>
  <c r="M37" i="7"/>
  <c r="E38" i="7" l="1"/>
  <c r="I38" i="7" l="1"/>
  <c r="J38" i="7" s="1"/>
  <c r="K38" i="7" l="1"/>
  <c r="H39" i="7"/>
  <c r="F38" i="7"/>
  <c r="Q38" i="7"/>
  <c r="G38" i="7" l="1"/>
  <c r="P38" i="7" s="1"/>
  <c r="N38" i="7" l="1"/>
  <c r="O38" i="7" s="1"/>
  <c r="R38" i="7"/>
  <c r="S38" i="7" s="1"/>
  <c r="M38" i="7"/>
  <c r="E39" i="7" l="1"/>
  <c r="I39" i="7" s="1"/>
  <c r="F39" i="7" l="1"/>
  <c r="G39" i="7" s="1"/>
  <c r="P39" i="7" s="1"/>
  <c r="J39" i="7"/>
  <c r="H40" i="7" s="1"/>
  <c r="Q39" i="7" l="1"/>
  <c r="K39" i="7"/>
  <c r="M39" i="7"/>
  <c r="N39" i="7"/>
  <c r="O39" i="7" s="1"/>
  <c r="R39" i="7"/>
  <c r="S39" i="7" l="1"/>
  <c r="E40" i="7"/>
  <c r="I40" i="7" l="1"/>
  <c r="J40" i="7" s="1"/>
  <c r="K40" i="7" l="1"/>
  <c r="H41" i="7"/>
  <c r="F40" i="7"/>
  <c r="Q40" i="7"/>
  <c r="L40" i="7" l="1"/>
  <c r="G40" i="7"/>
  <c r="P40" i="7" s="1"/>
  <c r="N40" i="7" l="1"/>
  <c r="O40" i="7" s="1"/>
  <c r="R40" i="7"/>
  <c r="S40" i="7" s="1"/>
  <c r="M40" i="7"/>
  <c r="E41" i="7" l="1"/>
  <c r="I41" i="7" l="1"/>
  <c r="J41" i="7" s="1"/>
  <c r="K41" i="7" l="1"/>
  <c r="H42" i="7"/>
  <c r="F41" i="7"/>
  <c r="Q41" i="7"/>
  <c r="M41" i="7" l="1"/>
  <c r="G41" i="7"/>
  <c r="P41" i="7" s="1"/>
  <c r="R41" i="7" l="1"/>
  <c r="S41" i="7" s="1"/>
  <c r="N41" i="7"/>
  <c r="O41" i="7" s="1"/>
  <c r="E42" i="7" l="1"/>
  <c r="I42" i="7" l="1"/>
  <c r="J42" i="7" s="1"/>
  <c r="K42" i="7" l="1"/>
  <c r="H43" i="7"/>
  <c r="F42" i="7"/>
  <c r="Q42" i="7"/>
  <c r="M42" i="7" l="1"/>
  <c r="G42" i="7"/>
  <c r="P42" i="7" s="1"/>
  <c r="N42" i="7" l="1"/>
  <c r="O42" i="7" s="1"/>
  <c r="E43" i="7" s="1"/>
  <c r="I43" i="7" s="1"/>
  <c r="J43" i="7" s="1"/>
  <c r="R42" i="7"/>
  <c r="S42" i="7" s="1"/>
  <c r="K43" i="7" l="1"/>
  <c r="H44" i="7"/>
  <c r="F43" i="7"/>
  <c r="G43" i="7" s="1"/>
  <c r="P43" i="7" s="1"/>
  <c r="Q43" i="7"/>
  <c r="N43" i="7" l="1"/>
  <c r="O43" i="7" s="1"/>
  <c r="M43" i="7" l="1"/>
  <c r="E44" i="7" s="1"/>
  <c r="R43" i="7"/>
  <c r="S43" i="7" s="1"/>
  <c r="I44" i="7" l="1"/>
  <c r="J44" i="7" s="1"/>
  <c r="K44" i="7" l="1"/>
  <c r="H45" i="7"/>
  <c r="F44" i="7"/>
  <c r="G44" i="7" s="1"/>
  <c r="P44" i="7" s="1"/>
  <c r="Q44" i="7"/>
  <c r="L44" i="7" l="1"/>
  <c r="N44" i="7" s="1"/>
  <c r="O44" i="7" s="1"/>
  <c r="M44" i="7" l="1"/>
  <c r="E45" i="7" s="1"/>
  <c r="R44" i="7"/>
  <c r="S44" i="7" s="1"/>
  <c r="I45" i="7" l="1"/>
  <c r="J45" i="7" s="1"/>
  <c r="K45" i="7" l="1"/>
  <c r="H46" i="7"/>
  <c r="F45" i="7"/>
  <c r="G45" i="7" s="1"/>
  <c r="P45" i="7" s="1"/>
  <c r="Q45" i="7"/>
  <c r="R45" i="7" l="1"/>
  <c r="S45" i="7" s="1"/>
  <c r="M45" i="7" l="1"/>
  <c r="N45" i="7"/>
  <c r="O45" i="7" s="1"/>
  <c r="E46" i="7" l="1"/>
  <c r="I46" i="7" s="1"/>
  <c r="J46" i="7" s="1"/>
  <c r="K46" i="7" l="1"/>
  <c r="H47" i="7"/>
  <c r="F46" i="7"/>
  <c r="G46" i="7" s="1"/>
  <c r="P46" i="7" s="1"/>
  <c r="Q46" i="7"/>
  <c r="R46" i="7" l="1"/>
  <c r="S46" i="7" s="1"/>
  <c r="M46" i="7" l="1"/>
  <c r="N46" i="7"/>
  <c r="O46" i="7" s="1"/>
  <c r="E47" i="7" l="1"/>
  <c r="I47" i="7" s="1"/>
  <c r="J47" i="7" s="1"/>
  <c r="K47" i="7" l="1"/>
  <c r="H48" i="7"/>
  <c r="F47" i="7"/>
  <c r="G47" i="7" s="1"/>
  <c r="P47" i="7" s="1"/>
  <c r="Q47" i="7"/>
  <c r="R47" i="7" l="1"/>
  <c r="S47" i="7" s="1"/>
  <c r="M47" i="7" l="1"/>
  <c r="N47" i="7"/>
  <c r="O47" i="7" s="1"/>
  <c r="E48" i="7" l="1"/>
  <c r="I48" i="7" s="1"/>
  <c r="J48" i="7" s="1"/>
  <c r="K48" i="7" l="1"/>
  <c r="H49" i="7"/>
  <c r="F48" i="7"/>
  <c r="G48" i="7" s="1"/>
  <c r="P48" i="7" s="1"/>
  <c r="Q48" i="7"/>
  <c r="L48" i="7" l="1"/>
  <c r="R48" i="7" s="1"/>
  <c r="S48" i="7" s="1"/>
  <c r="M48" i="7" l="1"/>
  <c r="N48" i="7"/>
  <c r="O48" i="7" s="1"/>
  <c r="E49" i="7" l="1"/>
  <c r="I49" i="7" s="1"/>
  <c r="J49" i="7" s="1"/>
  <c r="K49" i="7" l="1"/>
  <c r="H50" i="7"/>
  <c r="F49" i="7"/>
  <c r="G49" i="7" s="1"/>
  <c r="P49" i="7" s="1"/>
  <c r="Q49" i="7"/>
  <c r="R49" i="7" l="1"/>
  <c r="S49" i="7" s="1"/>
  <c r="M49" i="7" l="1"/>
  <c r="N49" i="7"/>
  <c r="O49" i="7" s="1"/>
  <c r="E50" i="7" l="1"/>
  <c r="I50" i="7" s="1"/>
  <c r="J50" i="7" s="1"/>
  <c r="K50" i="7" l="1"/>
  <c r="H51" i="7"/>
  <c r="F50" i="7"/>
  <c r="G50" i="7" s="1"/>
  <c r="P50" i="7" s="1"/>
  <c r="Q50" i="7"/>
  <c r="R50" i="7" l="1"/>
  <c r="S50" i="7" s="1"/>
  <c r="M50" i="7" l="1"/>
  <c r="N50" i="7"/>
  <c r="O50" i="7" s="1"/>
  <c r="E51" i="7" l="1"/>
  <c r="I51" i="7" s="1"/>
  <c r="J51" i="7" s="1"/>
  <c r="K51" i="7" l="1"/>
  <c r="H52" i="7"/>
  <c r="F51" i="7"/>
  <c r="G51" i="7" s="1"/>
  <c r="P51" i="7" s="1"/>
  <c r="Q51" i="7"/>
  <c r="R51" i="7" l="1"/>
  <c r="S51" i="7" s="1"/>
  <c r="M51" i="7" l="1"/>
  <c r="N51" i="7"/>
  <c r="O51" i="7" s="1"/>
  <c r="E52" i="7" l="1"/>
  <c r="I52" i="7" s="1"/>
  <c r="J52" i="7" s="1"/>
  <c r="K52" i="7" l="1"/>
  <c r="H53" i="7"/>
  <c r="F52" i="7"/>
  <c r="L52" i="7" s="1"/>
  <c r="Q52" i="7"/>
  <c r="G52" i="7" l="1"/>
  <c r="P52" i="7" s="1"/>
  <c r="R52" i="7"/>
  <c r="N52" i="7"/>
  <c r="O52" i="7" s="1"/>
  <c r="M52" i="7"/>
  <c r="S52" i="7" l="1"/>
  <c r="E53" i="7"/>
  <c r="I53" i="7" l="1"/>
  <c r="J53" i="7" s="1"/>
  <c r="K53" i="7" s="1"/>
  <c r="U8" i="7" s="1"/>
  <c r="F53" i="7" l="1"/>
  <c r="Q53" i="7"/>
  <c r="G53" i="7" l="1"/>
  <c r="P53" i="7" s="1"/>
  <c r="R53" i="7" l="1"/>
  <c r="S53" i="7" s="1"/>
  <c r="S54" i="7" s="1"/>
  <c r="M53" i="7"/>
  <c r="N53" i="7"/>
  <c r="O53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97BD31-8FB9-410D-9F66-FC4427D77C3E}" keepAlive="1" name="Consulta - Table001 (Page 1)" description="Ligação à consulta 'Table001 (Page 1)' no livro." type="5" refreshedVersion="7" background="1" saveData="1">
    <dbPr connection="Provider=Microsoft.Mashup.OleDb.1;Data Source=$Workbook$;Location=&quot;Table001 (Page 1)&quot;;Extended Properties=&quot;&quot;" command="SELECT * FROM [Table001 (Page 1)]"/>
  </connection>
  <connection id="2" xr16:uid="{C240466D-20A4-4CB4-A01B-A0C643884A93}" keepAlive="1" name="Consulta - Table001 (Page 1) (2)" description="Ligação à consulta 'Table001 (Page 1) (2)' no livro." type="5" refreshedVersion="7" background="1" saveData="1">
    <dbPr connection="Provider=Microsoft.Mashup.OleDb.1;Data Source=$Workbook$;Location=&quot;Table001 (Page 1) (2)&quot;;Extended Properties=&quot;&quot;" command="SELECT * FROM [Table001 (Page 1) (2)]"/>
  </connection>
</connections>
</file>

<file path=xl/sharedStrings.xml><?xml version="1.0" encoding="utf-8"?>
<sst xmlns="http://schemas.openxmlformats.org/spreadsheetml/2006/main" count="297" uniqueCount="131">
  <si>
    <t>Semanas</t>
  </si>
  <si>
    <t>2018</t>
  </si>
  <si>
    <t>2019</t>
  </si>
  <si>
    <t>2020</t>
  </si>
  <si>
    <t>P[DDLT&gt;S]</t>
  </si>
  <si>
    <t>E[DDLT&gt;S]</t>
  </si>
  <si>
    <t>LT</t>
  </si>
  <si>
    <t>Probabilidade</t>
  </si>
  <si>
    <t>µDDLT</t>
  </si>
  <si>
    <t xml:space="preserve">σDDLT </t>
  </si>
  <si>
    <t>σLT</t>
  </si>
  <si>
    <t>µLT</t>
  </si>
  <si>
    <t>q</t>
  </si>
  <si>
    <t>S</t>
  </si>
  <si>
    <t>C3</t>
  </si>
  <si>
    <t xml:space="preserve"> sacos (60kg cada)</t>
  </si>
  <si>
    <t>sacos</t>
  </si>
  <si>
    <t>i</t>
  </si>
  <si>
    <t>C2</t>
  </si>
  <si>
    <t>Nível de Encomenda - Política de Gestão Atual</t>
  </si>
  <si>
    <t>b</t>
  </si>
  <si>
    <t>1ª Iteração</t>
  </si>
  <si>
    <t>QEE</t>
  </si>
  <si>
    <t>N</t>
  </si>
  <si>
    <t>Z</t>
  </si>
  <si>
    <t>2ª Iteração</t>
  </si>
  <si>
    <t>3ª Iteração</t>
  </si>
  <si>
    <t>C1</t>
  </si>
  <si>
    <t>anual</t>
  </si>
  <si>
    <t>€ por saco</t>
  </si>
  <si>
    <t>semanal</t>
  </si>
  <si>
    <t>Processo convergiu</t>
  </si>
  <si>
    <t>€</t>
  </si>
  <si>
    <t xml:space="preserve">DADOS </t>
  </si>
  <si>
    <t>Custo Total</t>
  </si>
  <si>
    <r>
      <t xml:space="preserve">Estimação dos valores mais adequados da política atual - </t>
    </r>
    <r>
      <rPr>
        <b/>
        <u/>
        <sz val="14"/>
        <color theme="7" tint="-0.499984740745262"/>
        <rFont val="Calibri"/>
        <family val="2"/>
        <scheme val="minor"/>
      </rPr>
      <t>Nível de Encomenda</t>
    </r>
    <r>
      <rPr>
        <b/>
        <sz val="14"/>
        <color theme="7" tint="-0.499984740745262"/>
        <rFont val="Calibri"/>
        <family val="2"/>
        <scheme val="minor"/>
      </rPr>
      <t xml:space="preserve"> - para o ano</t>
    </r>
    <r>
      <rPr>
        <b/>
        <u/>
        <sz val="14"/>
        <color theme="7" tint="-0.499984740745262"/>
        <rFont val="Calibri"/>
        <family val="2"/>
        <scheme val="minor"/>
      </rPr>
      <t xml:space="preserve"> 2020</t>
    </r>
  </si>
  <si>
    <t>Parâmetros</t>
  </si>
  <si>
    <t>u.</t>
  </si>
  <si>
    <t>Trabalho Prático</t>
  </si>
  <si>
    <t>Realizado por:</t>
  </si>
  <si>
    <t>Ana Filipa Rodrigues</t>
  </si>
  <si>
    <t>Grupo 46</t>
  </si>
  <si>
    <t>Carolina Santejo</t>
  </si>
  <si>
    <t>Raquel Costa</t>
  </si>
  <si>
    <t>Sara Marques</t>
  </si>
  <si>
    <t>A89464</t>
  </si>
  <si>
    <t>A89500</t>
  </si>
  <si>
    <t>≈ 2</t>
  </si>
  <si>
    <t>≈ 1</t>
  </si>
  <si>
    <t>semanas</t>
  </si>
  <si>
    <t>A89589</t>
  </si>
  <si>
    <t>Época Baixa</t>
  </si>
  <si>
    <t>Época Alta</t>
  </si>
  <si>
    <t xml:space="preserve">r </t>
  </si>
  <si>
    <t xml:space="preserve">σR </t>
  </si>
  <si>
    <t>Ano inteiro:</t>
  </si>
  <si>
    <t>2º integral</t>
  </si>
  <si>
    <t>≈ 18</t>
  </si>
  <si>
    <t>Considerando q em ambas as épocas:</t>
  </si>
  <si>
    <t>≈ 38</t>
  </si>
  <si>
    <t>≈ 5</t>
  </si>
  <si>
    <t>A89477</t>
  </si>
  <si>
    <t xml:space="preserve">                        Modelos Estocásticos de Investigação Operacional</t>
  </si>
  <si>
    <r>
      <t>Universidade do Minho 2020/2021 -</t>
    </r>
    <r>
      <rPr>
        <b/>
        <sz val="11"/>
        <color theme="1"/>
        <rFont val="Calibri"/>
        <family val="2"/>
        <scheme val="minor"/>
      </rPr>
      <t xml:space="preserve"> MIEI</t>
    </r>
  </si>
  <si>
    <t>Semana</t>
  </si>
  <si>
    <t>Stock Inicial</t>
  </si>
  <si>
    <t>Stock Final</t>
  </si>
  <si>
    <t>Stock médio</t>
  </si>
  <si>
    <t>Procura</t>
  </si>
  <si>
    <t>Média S:</t>
  </si>
  <si>
    <t>Média s:</t>
  </si>
  <si>
    <t>[47,22]</t>
  </si>
  <si>
    <t>[23,46]</t>
  </si>
  <si>
    <t>[46,22]</t>
  </si>
  <si>
    <t>[23,45]</t>
  </si>
  <si>
    <t>(média-valores da regressão)^2:</t>
  </si>
  <si>
    <t>Vendas</t>
  </si>
  <si>
    <t>Encomenda</t>
  </si>
  <si>
    <t>Espera</t>
  </si>
  <si>
    <t>Quantidade a encomendar</t>
  </si>
  <si>
    <t>Prazo de entrega</t>
  </si>
  <si>
    <t>2021 (Previsão)</t>
  </si>
  <si>
    <t>Custo Posse</t>
  </si>
  <si>
    <t>Custo Quebra</t>
  </si>
  <si>
    <t xml:space="preserve">Custo Encomenda </t>
  </si>
  <si>
    <t>Quantidade em quebra</t>
  </si>
  <si>
    <t>Custo total</t>
  </si>
  <si>
    <t>Procura média</t>
  </si>
  <si>
    <t>Intervalo de tempo em semanas</t>
  </si>
  <si>
    <t xml:space="preserve">     Considerando a análise dos gráficos temporais em "TabelaProcuras":</t>
  </si>
  <si>
    <t>Intervalo de semanas</t>
  </si>
  <si>
    <t>Num ano, isto é, 50 semanas:</t>
  </si>
  <si>
    <t>CT</t>
  </si>
  <si>
    <t>≈ 26 semanas</t>
  </si>
  <si>
    <t>Época Alta ≈ 24 semanas</t>
  </si>
  <si>
    <t>µProcura r       (semanal)</t>
  </si>
  <si>
    <t>σR                   (semanal)</t>
  </si>
  <si>
    <t xml:space="preserve">≈ 1493 </t>
  </si>
  <si>
    <t>Época Baixa ≈ 26 semanas</t>
  </si>
  <si>
    <t>4ª Iteração</t>
  </si>
  <si>
    <t>-</t>
  </si>
  <si>
    <t>≈ 68</t>
  </si>
  <si>
    <t>em média</t>
  </si>
  <si>
    <t>s</t>
  </si>
  <si>
    <t>s\S</t>
  </si>
  <si>
    <t>Custo  Total</t>
  </si>
  <si>
    <t>Valores da regressão</t>
  </si>
  <si>
    <t>E[r]</t>
  </si>
  <si>
    <t>σr</t>
  </si>
  <si>
    <t>Previsão para o ano de 2021:</t>
  </si>
  <si>
    <t>μDDPP</t>
  </si>
  <si>
    <t>σDDPP</t>
  </si>
  <si>
    <t>Nova política</t>
  </si>
  <si>
    <t xml:space="preserve">tempo de um ciclo </t>
  </si>
  <si>
    <t>Nível de referência</t>
  </si>
  <si>
    <t>E[DDPP&gt;s]</t>
  </si>
  <si>
    <t>Nível de encomenda</t>
  </si>
  <si>
    <t>Época Alta  ≈ 24 semanas</t>
  </si>
  <si>
    <t>Época Baixa  ≈ 26 semanas</t>
  </si>
  <si>
    <t>Nível de Serviço</t>
  </si>
  <si>
    <t>Situação de quebra</t>
  </si>
  <si>
    <t>Nível de Serviço (anual)</t>
  </si>
  <si>
    <t>Nº  artigos em quebra</t>
  </si>
  <si>
    <t>Nº artigos em quebra</t>
  </si>
  <si>
    <t>Nº de artigos em quebra</t>
  </si>
  <si>
    <t>= custo mínimo</t>
  </si>
  <si>
    <t>q = QEE</t>
  </si>
  <si>
    <t>P[DDPP&gt;S]</t>
  </si>
  <si>
    <t>NS</t>
  </si>
  <si>
    <t>≈</t>
  </si>
  <si>
    <t>≈ 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</si>
</sst>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2" formatCode="_-* #,##0\ &quot;€&quot;_-;\-* #,##0\ &quot;€&quot;_-;_-* &quot;-&quot;\ &quot;€&quot;_-;_-@_-"/>
    <numFmt numFmtId="164" formatCode="0.0"/>
    <numFmt numFmtId="165" formatCode="#,000"/>
  </numFmts>
  <fonts count="23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  <font>
      <b/>
      <u/>
      <sz val="14"/>
      <color theme="7" tint="-0.499984740745262"/>
      <name val="Calibri"/>
      <family val="2"/>
      <scheme val="minor"/>
    </font>
    <font>
      <sz val="22"/>
      <color theme="7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theme="2" tint="-0.74999237037263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3F3F3F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2"/>
      <color theme="7" tint="-0.499984740745262"/>
      <name val="Calibri"/>
      <family val="2"/>
      <scheme val="minor"/>
    </font>
    <font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</patternFill>
    </fill>
    <fill>
      <patternFill patternType="solid">
        <fgColor rgb="FFFFC7CE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46"/>
        <bgColor indexed="64"/>
      </patternFill>
    </fill>
  </fills>
  <borders count="25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/>
      <right/>
      <top/>
      <bottom style="thin">
        <color indexed="64"/>
      </bottom>
      <diagonal/>
    </border>
    <border>
      <left style="double">
        <color theme="7" tint="-0.249977111117893"/>
      </left>
      <right/>
      <top style="double">
        <color theme="7" tint="-0.249977111117893"/>
      </top>
      <bottom/>
      <diagonal/>
    </border>
    <border>
      <left/>
      <right/>
      <top style="double">
        <color theme="7" tint="-0.249977111117893"/>
      </top>
      <bottom/>
      <diagonal/>
    </border>
    <border>
      <left/>
      <right style="double">
        <color theme="7" tint="-0.249977111117893"/>
      </right>
      <top style="double">
        <color theme="7" tint="-0.249977111117893"/>
      </top>
      <bottom/>
      <diagonal/>
    </border>
    <border>
      <left style="double">
        <color theme="7" tint="-0.249977111117893"/>
      </left>
      <right/>
      <top/>
      <bottom/>
      <diagonal/>
    </border>
    <border>
      <left/>
      <right style="double">
        <color theme="7" tint="-0.249977111117893"/>
      </right>
      <top/>
      <bottom/>
      <diagonal/>
    </border>
    <border>
      <left style="double">
        <color theme="7" tint="-0.249977111117893"/>
      </left>
      <right/>
      <top/>
      <bottom style="double">
        <color theme="7" tint="-0.249977111117893"/>
      </bottom>
      <diagonal/>
    </border>
    <border>
      <left/>
      <right/>
      <top/>
      <bottom style="double">
        <color theme="7" tint="-0.249977111117893"/>
      </bottom>
      <diagonal/>
    </border>
    <border>
      <left/>
      <right style="double">
        <color theme="7" tint="-0.249977111117893"/>
      </right>
      <top/>
      <bottom style="double">
        <color theme="7" tint="-0.249977111117893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/>
      <right/>
      <top style="thin">
        <color rgb="FF3F3F3F"/>
      </top>
      <bottom/>
      <diagonal/>
    </border>
    <border>
      <left/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/>
      <bottom/>
      <diagonal/>
    </border>
    <border>
      <left/>
      <right style="thin">
        <color rgb="FF3F3F3F"/>
      </right>
      <top/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1" fillId="2" borderId="1" applyNumberFormat="0" applyAlignment="0" applyProtection="0"/>
    <xf numFmtId="0" fontId="2" fillId="3" borderId="0" applyNumberFormat="0" applyBorder="0" applyAlignment="0" applyProtection="0"/>
    <xf numFmtId="42" fontId="18" fillId="0" borderId="0" applyFont="0" applyFill="0" applyBorder="0" applyAlignment="0" applyProtection="0"/>
    <xf numFmtId="0" fontId="5" fillId="15" borderId="0" applyNumberFormat="0" applyBorder="0" applyAlignment="0" applyProtection="0"/>
    <xf numFmtId="0" fontId="20" fillId="16" borderId="0" applyNumberFormat="0" applyBorder="0" applyAlignment="0" applyProtection="0"/>
    <xf numFmtId="9" fontId="18" fillId="0" borderId="0" applyFont="0" applyFill="0" applyBorder="0" applyAlignment="0" applyProtection="0"/>
  </cellStyleXfs>
  <cellXfs count="143">
    <xf numFmtId="0" fontId="0" fillId="0" borderId="0" xfId="0"/>
    <xf numFmtId="0" fontId="0" fillId="0" borderId="0" xfId="0" applyAlignment="1"/>
    <xf numFmtId="0" fontId="1" fillId="0" borderId="0" xfId="1" applyFill="1" applyBorder="1" applyAlignment="1"/>
    <xf numFmtId="0" fontId="1" fillId="0" borderId="0" xfId="1" applyFill="1" applyBorder="1" applyAlignment="1">
      <alignment horizontal="left"/>
    </xf>
    <xf numFmtId="0" fontId="0" fillId="0" borderId="2" xfId="0" applyBorder="1"/>
    <xf numFmtId="0" fontId="0" fillId="0" borderId="7" xfId="0" applyBorder="1"/>
    <xf numFmtId="0" fontId="0" fillId="0" borderId="4" xfId="0" applyBorder="1"/>
    <xf numFmtId="0" fontId="6" fillId="6" borderId="2" xfId="0" applyFont="1" applyFill="1" applyBorder="1"/>
    <xf numFmtId="0" fontId="4" fillId="7" borderId="2" xfId="0" applyFont="1" applyFill="1" applyBorder="1"/>
    <xf numFmtId="0" fontId="0" fillId="8" borderId="2" xfId="0" applyFill="1" applyBorder="1"/>
    <xf numFmtId="0" fontId="0" fillId="6" borderId="2" xfId="0" applyFill="1" applyBorder="1"/>
    <xf numFmtId="0" fontId="4" fillId="7" borderId="6" xfId="0" applyFont="1" applyFill="1" applyBorder="1"/>
    <xf numFmtId="0" fontId="6" fillId="6" borderId="6" xfId="0" applyFont="1" applyFill="1" applyBorder="1"/>
    <xf numFmtId="0" fontId="3" fillId="9" borderId="0" xfId="0" applyFont="1" applyFill="1"/>
    <xf numFmtId="0" fontId="0" fillId="10" borderId="0" xfId="0" applyFill="1"/>
    <xf numFmtId="0" fontId="3" fillId="0" borderId="0" xfId="0" applyFont="1" applyFill="1"/>
    <xf numFmtId="0" fontId="0" fillId="0" borderId="0" xfId="0" applyNumberFormat="1"/>
    <xf numFmtId="0" fontId="0" fillId="0" borderId="0" xfId="0" applyNumberFormat="1" applyAlignment="1">
      <alignment horizontal="right"/>
    </xf>
    <xf numFmtId="0" fontId="8" fillId="12" borderId="0" xfId="0" applyFont="1" applyFill="1"/>
    <xf numFmtId="0" fontId="5" fillId="11" borderId="0" xfId="0" applyFont="1" applyFill="1"/>
    <xf numFmtId="0" fontId="3" fillId="11" borderId="0" xfId="0" applyFont="1" applyFill="1"/>
    <xf numFmtId="0" fontId="0" fillId="11" borderId="0" xfId="0" applyFill="1"/>
    <xf numFmtId="0" fontId="0" fillId="0" borderId="0" xfId="0" applyAlignment="1">
      <alignment horizontal="left" vertical="top"/>
    </xf>
    <xf numFmtId="0" fontId="0" fillId="0" borderId="0" xfId="0" applyAlignment="1">
      <alignment vertical="top"/>
    </xf>
    <xf numFmtId="0" fontId="14" fillId="6" borderId="2" xfId="0" applyFont="1" applyFill="1" applyBorder="1"/>
    <xf numFmtId="0" fontId="3" fillId="11" borderId="0" xfId="0" applyFont="1" applyFill="1" applyAlignment="1">
      <alignment horizontal="left"/>
    </xf>
    <xf numFmtId="0" fontId="16" fillId="0" borderId="0" xfId="1" applyFont="1" applyFill="1" applyBorder="1" applyAlignment="1"/>
    <xf numFmtId="0" fontId="3" fillId="11" borderId="5" xfId="0" applyFont="1" applyFill="1" applyBorder="1"/>
    <xf numFmtId="0" fontId="3" fillId="11" borderId="3" xfId="0" applyFont="1" applyFill="1" applyBorder="1"/>
    <xf numFmtId="0" fontId="3" fillId="9" borderId="0" xfId="0" applyFont="1" applyFill="1" applyAlignment="1">
      <alignment horizontal="center" vertical="center" wrapText="1"/>
    </xf>
    <xf numFmtId="0" fontId="4" fillId="0" borderId="0" xfId="0" applyFont="1"/>
    <xf numFmtId="0" fontId="17" fillId="0" borderId="0" xfId="0" applyFont="1"/>
    <xf numFmtId="0" fontId="0" fillId="0" borderId="0" xfId="0" applyAlignment="1">
      <alignment horizontal="center" vertical="center"/>
    </xf>
    <xf numFmtId="0" fontId="1" fillId="2" borderId="1" xfId="1" applyAlignment="1">
      <alignment horizontal="center"/>
    </xf>
    <xf numFmtId="0" fontId="0" fillId="0" borderId="16" xfId="0" applyBorder="1"/>
    <xf numFmtId="1" fontId="0" fillId="0" borderId="17" xfId="0" applyNumberFormat="1" applyBorder="1"/>
    <xf numFmtId="164" fontId="0" fillId="0" borderId="17" xfId="0" applyNumberFormat="1" applyBorder="1"/>
    <xf numFmtId="0" fontId="0" fillId="0" borderId="17" xfId="0" applyFont="1" applyBorder="1"/>
    <xf numFmtId="0" fontId="0" fillId="0" borderId="17" xfId="0" applyBorder="1"/>
    <xf numFmtId="1" fontId="0" fillId="0" borderId="19" xfId="0" applyNumberFormat="1" applyBorder="1"/>
    <xf numFmtId="1" fontId="0" fillId="0" borderId="0" xfId="0" applyNumberFormat="1" applyBorder="1"/>
    <xf numFmtId="164" fontId="0" fillId="0" borderId="0" xfId="0" applyNumberFormat="1" applyBorder="1"/>
    <xf numFmtId="0" fontId="0" fillId="0" borderId="0" xfId="0" applyFont="1" applyBorder="1"/>
    <xf numFmtId="0" fontId="0" fillId="0" borderId="0" xfId="0" applyBorder="1"/>
    <xf numFmtId="42" fontId="0" fillId="0" borderId="0" xfId="3" applyFont="1" applyBorder="1"/>
    <xf numFmtId="1" fontId="0" fillId="0" borderId="21" xfId="0" applyNumberFormat="1" applyBorder="1"/>
    <xf numFmtId="1" fontId="0" fillId="0" borderId="22" xfId="0" applyNumberFormat="1" applyBorder="1"/>
    <xf numFmtId="0" fontId="0" fillId="0" borderId="22" xfId="0" applyBorder="1"/>
    <xf numFmtId="42" fontId="0" fillId="0" borderId="22" xfId="3" applyFont="1" applyBorder="1"/>
    <xf numFmtId="42" fontId="0" fillId="0" borderId="7" xfId="3" applyFont="1" applyBorder="1"/>
    <xf numFmtId="164" fontId="0" fillId="0" borderId="18" xfId="0" applyNumberFormat="1" applyBorder="1"/>
    <xf numFmtId="164" fontId="0" fillId="0" borderId="20" xfId="0" applyNumberFormat="1" applyBorder="1"/>
    <xf numFmtId="0" fontId="0" fillId="0" borderId="0" xfId="0" applyFill="1" applyAlignment="1"/>
    <xf numFmtId="0" fontId="3" fillId="11" borderId="0" xfId="0" applyFont="1" applyFill="1" applyAlignment="1"/>
    <xf numFmtId="0" fontId="4" fillId="17" borderId="0" xfId="0" applyFont="1" applyFill="1" applyAlignment="1"/>
    <xf numFmtId="0" fontId="0" fillId="14" borderId="0" xfId="0" applyFill="1"/>
    <xf numFmtId="0" fontId="0" fillId="14" borderId="0" xfId="0" applyFill="1" applyAlignment="1"/>
    <xf numFmtId="0" fontId="3" fillId="0" borderId="0" xfId="0" applyFont="1" applyFill="1" applyAlignment="1"/>
    <xf numFmtId="0" fontId="0" fillId="0" borderId="0" xfId="0" applyFill="1"/>
    <xf numFmtId="0" fontId="0" fillId="0" borderId="0" xfId="0" applyAlignment="1">
      <alignment vertical="center"/>
    </xf>
    <xf numFmtId="0" fontId="3" fillId="11" borderId="0" xfId="0" applyFont="1" applyFill="1" applyAlignment="1">
      <alignment horizontal="center" vertical="center"/>
    </xf>
    <xf numFmtId="0" fontId="4" fillId="0" borderId="0" xfId="0" applyFont="1" applyFill="1" applyAlignment="1"/>
    <xf numFmtId="42" fontId="0" fillId="0" borderId="0" xfId="0" applyNumberFormat="1"/>
    <xf numFmtId="2" fontId="0" fillId="0" borderId="0" xfId="0" applyNumberFormat="1"/>
    <xf numFmtId="0" fontId="8" fillId="20" borderId="0" xfId="0" applyFont="1" applyFill="1"/>
    <xf numFmtId="165" fontId="0" fillId="0" borderId="0" xfId="0" applyNumberFormat="1"/>
    <xf numFmtId="1" fontId="0" fillId="19" borderId="0" xfId="0" applyNumberFormat="1" applyFill="1"/>
    <xf numFmtId="1" fontId="3" fillId="19" borderId="0" xfId="0" applyNumberFormat="1" applyFont="1" applyFill="1"/>
    <xf numFmtId="0" fontId="4" fillId="19" borderId="4" xfId="0" applyFont="1" applyFill="1" applyBorder="1" applyAlignment="1">
      <alignment horizontal="right"/>
    </xf>
    <xf numFmtId="0" fontId="9" fillId="5" borderId="0" xfId="0" applyFont="1" applyFill="1" applyAlignment="1"/>
    <xf numFmtId="0" fontId="3" fillId="11" borderId="0" xfId="0" applyFont="1" applyFill="1" applyAlignment="1">
      <alignment horizontal="center" vertical="center" wrapText="1"/>
    </xf>
    <xf numFmtId="0" fontId="3" fillId="19" borderId="0" xfId="4" applyFont="1" applyFill="1" applyBorder="1" applyAlignment="1">
      <alignment horizontal="center" vertical="center" wrapText="1"/>
    </xf>
    <xf numFmtId="0" fontId="20" fillId="16" borderId="0" xfId="5" applyBorder="1"/>
    <xf numFmtId="0" fontId="0" fillId="17" borderId="0" xfId="0" applyFill="1"/>
    <xf numFmtId="0" fontId="20" fillId="16" borderId="22" xfId="5" applyBorder="1"/>
    <xf numFmtId="1" fontId="0" fillId="0" borderId="7" xfId="0" applyNumberFormat="1" applyBorder="1"/>
    <xf numFmtId="10" fontId="0" fillId="0" borderId="0" xfId="0" applyNumberFormat="1"/>
    <xf numFmtId="10" fontId="0" fillId="0" borderId="0" xfId="6" applyNumberFormat="1" applyFont="1"/>
    <xf numFmtId="0" fontId="0" fillId="10" borderId="0" xfId="0" applyFill="1" applyAlignment="1">
      <alignment horizontal="center"/>
    </xf>
    <xf numFmtId="0" fontId="0" fillId="14" borderId="24" xfId="0" applyFill="1" applyBorder="1"/>
    <xf numFmtId="0" fontId="0" fillId="10" borderId="24" xfId="0" applyFill="1" applyBorder="1" applyAlignment="1">
      <alignment horizontal="center" vertical="center" wrapText="1"/>
    </xf>
    <xf numFmtId="0" fontId="0" fillId="10" borderId="24" xfId="0" applyFill="1" applyBorder="1" applyAlignment="1">
      <alignment horizontal="center" wrapText="1"/>
    </xf>
    <xf numFmtId="1" fontId="0" fillId="0" borderId="0" xfId="0" applyNumberFormat="1"/>
    <xf numFmtId="0" fontId="0" fillId="21" borderId="0" xfId="0" applyFill="1"/>
    <xf numFmtId="0" fontId="4" fillId="0" borderId="0" xfId="0" quotePrefix="1" applyFont="1"/>
    <xf numFmtId="164" fontId="0" fillId="0" borderId="7" xfId="0" applyNumberFormat="1" applyBorder="1"/>
    <xf numFmtId="42" fontId="0" fillId="0" borderId="5" xfId="3" applyFont="1" applyBorder="1"/>
    <xf numFmtId="42" fontId="0" fillId="0" borderId="4" xfId="3" applyFont="1" applyBorder="1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10" fontId="0" fillId="14" borderId="24" xfId="6" applyNumberFormat="1" applyFont="1" applyFill="1" applyBorder="1"/>
    <xf numFmtId="0" fontId="0" fillId="10" borderId="24" xfId="0" applyFill="1" applyBorder="1"/>
    <xf numFmtId="0" fontId="0" fillId="14" borderId="24" xfId="0" applyFill="1" applyBorder="1" applyAlignment="1">
      <alignment vertical="center"/>
    </xf>
    <xf numFmtId="0" fontId="0" fillId="14" borderId="0" xfId="0" applyFill="1" applyBorder="1"/>
    <xf numFmtId="0" fontId="0" fillId="14" borderId="5" xfId="0" applyFill="1" applyBorder="1" applyAlignment="1"/>
    <xf numFmtId="0" fontId="0" fillId="14" borderId="23" xfId="0" applyFill="1" applyBorder="1" applyAlignment="1"/>
    <xf numFmtId="0" fontId="0" fillId="0" borderId="0" xfId="0" applyAlignment="1">
      <alignment horizontal="center"/>
    </xf>
    <xf numFmtId="1" fontId="0" fillId="0" borderId="16" xfId="0" applyNumberFormat="1" applyBorder="1"/>
    <xf numFmtId="0" fontId="0" fillId="0" borderId="0" xfId="0" applyFill="1" applyAlignment="1">
      <alignment vertical="center"/>
    </xf>
    <xf numFmtId="0" fontId="0" fillId="0" borderId="0" xfId="0" applyAlignment="1">
      <alignment horizontal="left" vertical="top"/>
    </xf>
    <xf numFmtId="0" fontId="12" fillId="11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13" fillId="0" borderId="0" xfId="0" applyFont="1" applyAlignment="1">
      <alignment horizontal="center"/>
    </xf>
    <xf numFmtId="0" fontId="11" fillId="4" borderId="8" xfId="0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0" fontId="11" fillId="4" borderId="10" xfId="0" applyFont="1" applyFill="1" applyBorder="1" applyAlignment="1">
      <alignment horizontal="center" vertical="center"/>
    </xf>
    <xf numFmtId="0" fontId="11" fillId="4" borderId="11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11" fillId="4" borderId="12" xfId="0" applyFont="1" applyFill="1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  <xf numFmtId="0" fontId="11" fillId="4" borderId="14" xfId="0" applyFont="1" applyFill="1" applyBorder="1" applyAlignment="1">
      <alignment horizontal="center" vertical="center"/>
    </xf>
    <xf numFmtId="0" fontId="11" fillId="4" borderId="1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4" borderId="0" xfId="0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1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7" fillId="5" borderId="0" xfId="0" applyFont="1" applyFill="1" applyAlignment="1">
      <alignment horizontal="center" vertical="center"/>
    </xf>
    <xf numFmtId="0" fontId="0" fillId="10" borderId="24" xfId="0" applyFill="1" applyBorder="1" applyAlignment="1">
      <alignment horizontal="center" vertical="center" wrapText="1"/>
    </xf>
    <xf numFmtId="0" fontId="0" fillId="10" borderId="0" xfId="0" applyFill="1" applyBorder="1" applyAlignment="1">
      <alignment horizontal="center" vertical="center" wrapText="1"/>
    </xf>
    <xf numFmtId="0" fontId="0" fillId="14" borderId="23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4" fillId="1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9" fillId="13" borderId="0" xfId="0" applyFont="1" applyFill="1" applyAlignment="1">
      <alignment horizontal="center"/>
    </xf>
    <xf numFmtId="0" fontId="0" fillId="14" borderId="0" xfId="0" applyFill="1" applyAlignment="1">
      <alignment horizontal="center" vertical="center"/>
    </xf>
    <xf numFmtId="0" fontId="2" fillId="3" borderId="0" xfId="2" applyAlignment="1">
      <alignment horizontal="center" vertical="center"/>
    </xf>
    <xf numFmtId="10" fontId="0" fillId="14" borderId="0" xfId="6" applyNumberFormat="1" applyFont="1" applyFill="1" applyAlignment="1">
      <alignment horizontal="center"/>
    </xf>
    <xf numFmtId="10" fontId="0" fillId="14" borderId="5" xfId="6" applyNumberFormat="1" applyFont="1" applyFill="1" applyBorder="1" applyAlignment="1">
      <alignment horizontal="center"/>
    </xf>
    <xf numFmtId="10" fontId="0" fillId="14" borderId="23" xfId="6" applyNumberFormat="1" applyFont="1" applyFill="1" applyBorder="1" applyAlignment="1">
      <alignment horizontal="center"/>
    </xf>
    <xf numFmtId="10" fontId="0" fillId="14" borderId="0" xfId="6" applyNumberFormat="1" applyFont="1" applyFill="1" applyBorder="1" applyAlignment="1">
      <alignment horizontal="center"/>
    </xf>
    <xf numFmtId="0" fontId="4" fillId="19" borderId="0" xfId="0" applyFont="1" applyFill="1" applyAlignment="1">
      <alignment horizontal="center"/>
    </xf>
    <xf numFmtId="0" fontId="3" fillId="11" borderId="0" xfId="0" applyFont="1" applyFill="1" applyBorder="1" applyAlignment="1">
      <alignment horizontal="left"/>
    </xf>
    <xf numFmtId="0" fontId="21" fillId="13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/>
    </xf>
    <xf numFmtId="0" fontId="4" fillId="14" borderId="0" xfId="0" applyFont="1" applyFill="1" applyAlignment="1">
      <alignment horizontal="center"/>
    </xf>
    <xf numFmtId="0" fontId="19" fillId="2" borderId="1" xfId="1" applyFont="1" applyAlignment="1">
      <alignment horizontal="center"/>
    </xf>
  </cellXfs>
  <cellStyles count="7">
    <cellStyle name="Cor1" xfId="4" builtinId="29"/>
    <cellStyle name="Correto" xfId="2" builtinId="26"/>
    <cellStyle name="Incorreto" xfId="5" builtinId="27"/>
    <cellStyle name="Moeda [0]" xfId="3" builtinId="7"/>
    <cellStyle name="Normal" xfId="0" builtinId="0"/>
    <cellStyle name="Percentagem" xfId="6" builtinId="5"/>
    <cellStyle name="Saída" xfId="1" builtinId="21"/>
  </cellStyles>
  <dxfs count="0"/>
  <tableStyles count="2" defaultTableStyle="TableStyleMedium2" defaultPivotStyle="PivotStyleLight16">
    <tableStyle name="Estilo de Tabela 1" pivot="0" count="0" xr9:uid="{31E9E13E-D874-441E-B248-02BBF1012BCF}"/>
    <tableStyle name="Estilo de Tabela 2" pivot="0" count="0" xr9:uid="{A517D5D2-A654-47C7-8AD3-A97BE318802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Valores da procura no ano 2020 </a:t>
            </a:r>
          </a:p>
        </c:rich>
      </c:tx>
      <c:layout>
        <c:manualLayout>
          <c:xMode val="edge"/>
          <c:yMode val="edge"/>
          <c:x val="0.25068247956260636"/>
          <c:y val="4.17537784822556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1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TabelaProcuras!$D$2</c:f>
              <c:numCache>
                <c:formatCode>General</c:formatCode>
                <c:ptCount val="1"/>
                <c:pt idx="0">
                  <c:v>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F1-4D1B-8968-F1EADFBEFD4C}"/>
            </c:ext>
          </c:extLst>
        </c:ser>
        <c:ser>
          <c:idx val="1"/>
          <c:order val="1"/>
          <c:tx>
            <c:v>Semans</c:v>
          </c:tx>
          <c:spPr>
            <a:ln w="31750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TabelaProcuras!$D$2:$D$51</c:f>
              <c:numCache>
                <c:formatCode>General</c:formatCode>
                <c:ptCount val="50"/>
                <c:pt idx="0">
                  <c:v>433</c:v>
                </c:pt>
                <c:pt idx="1">
                  <c:v>451</c:v>
                </c:pt>
                <c:pt idx="2">
                  <c:v>430</c:v>
                </c:pt>
                <c:pt idx="3">
                  <c:v>420</c:v>
                </c:pt>
                <c:pt idx="4">
                  <c:v>379</c:v>
                </c:pt>
                <c:pt idx="5">
                  <c:v>418</c:v>
                </c:pt>
                <c:pt idx="6">
                  <c:v>441</c:v>
                </c:pt>
                <c:pt idx="7">
                  <c:v>414</c:v>
                </c:pt>
                <c:pt idx="8">
                  <c:v>473</c:v>
                </c:pt>
                <c:pt idx="9">
                  <c:v>458</c:v>
                </c:pt>
                <c:pt idx="10">
                  <c:v>441</c:v>
                </c:pt>
                <c:pt idx="11">
                  <c:v>407</c:v>
                </c:pt>
                <c:pt idx="12">
                  <c:v>426</c:v>
                </c:pt>
                <c:pt idx="13">
                  <c:v>411</c:v>
                </c:pt>
                <c:pt idx="14">
                  <c:v>400</c:v>
                </c:pt>
                <c:pt idx="15">
                  <c:v>454</c:v>
                </c:pt>
                <c:pt idx="16">
                  <c:v>443</c:v>
                </c:pt>
                <c:pt idx="17">
                  <c:v>421</c:v>
                </c:pt>
                <c:pt idx="18">
                  <c:v>434</c:v>
                </c:pt>
                <c:pt idx="19">
                  <c:v>460</c:v>
                </c:pt>
                <c:pt idx="20">
                  <c:v>406</c:v>
                </c:pt>
                <c:pt idx="21">
                  <c:v>403</c:v>
                </c:pt>
                <c:pt idx="22">
                  <c:v>610</c:v>
                </c:pt>
                <c:pt idx="23">
                  <c:v>606</c:v>
                </c:pt>
                <c:pt idx="24">
                  <c:v>605</c:v>
                </c:pt>
                <c:pt idx="25">
                  <c:v>598</c:v>
                </c:pt>
                <c:pt idx="26">
                  <c:v>604</c:v>
                </c:pt>
                <c:pt idx="27">
                  <c:v>589</c:v>
                </c:pt>
                <c:pt idx="28">
                  <c:v>636</c:v>
                </c:pt>
                <c:pt idx="29">
                  <c:v>592</c:v>
                </c:pt>
                <c:pt idx="30">
                  <c:v>630</c:v>
                </c:pt>
                <c:pt idx="31">
                  <c:v>597</c:v>
                </c:pt>
                <c:pt idx="32">
                  <c:v>614</c:v>
                </c:pt>
                <c:pt idx="33">
                  <c:v>604</c:v>
                </c:pt>
                <c:pt idx="34">
                  <c:v>610</c:v>
                </c:pt>
                <c:pt idx="35">
                  <c:v>605</c:v>
                </c:pt>
                <c:pt idx="36">
                  <c:v>614</c:v>
                </c:pt>
                <c:pt idx="37">
                  <c:v>588</c:v>
                </c:pt>
                <c:pt idx="38">
                  <c:v>590</c:v>
                </c:pt>
                <c:pt idx="39">
                  <c:v>604</c:v>
                </c:pt>
                <c:pt idx="40">
                  <c:v>585</c:v>
                </c:pt>
                <c:pt idx="41">
                  <c:v>591</c:v>
                </c:pt>
                <c:pt idx="42">
                  <c:v>602</c:v>
                </c:pt>
                <c:pt idx="43">
                  <c:v>591</c:v>
                </c:pt>
                <c:pt idx="44">
                  <c:v>596</c:v>
                </c:pt>
                <c:pt idx="45">
                  <c:v>582</c:v>
                </c:pt>
                <c:pt idx="46">
                  <c:v>391</c:v>
                </c:pt>
                <c:pt idx="47">
                  <c:v>428</c:v>
                </c:pt>
                <c:pt idx="48">
                  <c:v>409</c:v>
                </c:pt>
                <c:pt idx="49">
                  <c:v>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25-4ACF-8A5E-6217D3827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0814776"/>
        <c:axId val="600815096"/>
      </c:lineChart>
      <c:catAx>
        <c:axId val="600814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Semanas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600815096"/>
        <c:crosses val="autoZero"/>
        <c:auto val="1"/>
        <c:lblAlgn val="ctr"/>
        <c:lblOffset val="100"/>
        <c:noMultiLvlLbl val="0"/>
      </c:catAx>
      <c:valAx>
        <c:axId val="600815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Procura 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600814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Valores da Procura no ano 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TabelaProcuras!$B$2:$B$51</c:f>
              <c:numCache>
                <c:formatCode>General</c:formatCode>
                <c:ptCount val="50"/>
                <c:pt idx="0">
                  <c:v>314</c:v>
                </c:pt>
                <c:pt idx="1">
                  <c:v>314</c:v>
                </c:pt>
                <c:pt idx="2">
                  <c:v>318</c:v>
                </c:pt>
                <c:pt idx="3">
                  <c:v>307</c:v>
                </c:pt>
                <c:pt idx="4">
                  <c:v>306</c:v>
                </c:pt>
                <c:pt idx="5">
                  <c:v>292</c:v>
                </c:pt>
                <c:pt idx="6">
                  <c:v>317</c:v>
                </c:pt>
                <c:pt idx="7">
                  <c:v>303</c:v>
                </c:pt>
                <c:pt idx="8">
                  <c:v>320</c:v>
                </c:pt>
                <c:pt idx="9">
                  <c:v>296</c:v>
                </c:pt>
                <c:pt idx="10">
                  <c:v>317</c:v>
                </c:pt>
                <c:pt idx="11">
                  <c:v>319</c:v>
                </c:pt>
                <c:pt idx="12">
                  <c:v>332</c:v>
                </c:pt>
                <c:pt idx="13">
                  <c:v>303</c:v>
                </c:pt>
                <c:pt idx="14">
                  <c:v>281</c:v>
                </c:pt>
                <c:pt idx="15">
                  <c:v>312</c:v>
                </c:pt>
                <c:pt idx="16">
                  <c:v>306</c:v>
                </c:pt>
                <c:pt idx="17">
                  <c:v>317</c:v>
                </c:pt>
                <c:pt idx="18">
                  <c:v>307</c:v>
                </c:pt>
                <c:pt idx="19">
                  <c:v>291</c:v>
                </c:pt>
                <c:pt idx="20">
                  <c:v>331</c:v>
                </c:pt>
                <c:pt idx="21">
                  <c:v>307</c:v>
                </c:pt>
                <c:pt idx="22">
                  <c:v>436</c:v>
                </c:pt>
                <c:pt idx="23">
                  <c:v>442</c:v>
                </c:pt>
                <c:pt idx="24">
                  <c:v>449</c:v>
                </c:pt>
                <c:pt idx="25">
                  <c:v>436</c:v>
                </c:pt>
                <c:pt idx="26">
                  <c:v>467</c:v>
                </c:pt>
                <c:pt idx="27">
                  <c:v>440</c:v>
                </c:pt>
                <c:pt idx="28">
                  <c:v>455</c:v>
                </c:pt>
                <c:pt idx="29">
                  <c:v>457</c:v>
                </c:pt>
                <c:pt idx="30">
                  <c:v>435</c:v>
                </c:pt>
                <c:pt idx="31">
                  <c:v>445</c:v>
                </c:pt>
                <c:pt idx="32">
                  <c:v>439</c:v>
                </c:pt>
                <c:pt idx="33">
                  <c:v>478</c:v>
                </c:pt>
                <c:pt idx="34">
                  <c:v>433</c:v>
                </c:pt>
                <c:pt idx="35">
                  <c:v>444</c:v>
                </c:pt>
                <c:pt idx="36">
                  <c:v>410</c:v>
                </c:pt>
                <c:pt idx="37">
                  <c:v>478</c:v>
                </c:pt>
                <c:pt idx="38">
                  <c:v>442</c:v>
                </c:pt>
                <c:pt idx="39">
                  <c:v>429</c:v>
                </c:pt>
                <c:pt idx="40">
                  <c:v>426</c:v>
                </c:pt>
                <c:pt idx="41">
                  <c:v>424</c:v>
                </c:pt>
                <c:pt idx="42">
                  <c:v>408</c:v>
                </c:pt>
                <c:pt idx="43">
                  <c:v>462</c:v>
                </c:pt>
                <c:pt idx="44">
                  <c:v>430</c:v>
                </c:pt>
                <c:pt idx="45">
                  <c:v>424</c:v>
                </c:pt>
                <c:pt idx="46">
                  <c:v>293</c:v>
                </c:pt>
                <c:pt idx="47">
                  <c:v>308</c:v>
                </c:pt>
                <c:pt idx="48">
                  <c:v>288</c:v>
                </c:pt>
                <c:pt idx="49">
                  <c:v>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BC-42A7-97FC-F23640BF3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2563576"/>
        <c:axId val="702562296"/>
      </c:lineChart>
      <c:catAx>
        <c:axId val="7025635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702562296"/>
        <c:crosses val="autoZero"/>
        <c:auto val="1"/>
        <c:lblAlgn val="ctr"/>
        <c:lblOffset val="100"/>
        <c:noMultiLvlLbl val="0"/>
      </c:catAx>
      <c:valAx>
        <c:axId val="70256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70256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Valores da Procura no ano 2019</a:t>
            </a:r>
          </a:p>
        </c:rich>
      </c:tx>
      <c:layout>
        <c:manualLayout>
          <c:xMode val="edge"/>
          <c:yMode val="edge"/>
          <c:x val="0.24715120125844037"/>
          <c:y val="2.85364873467124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TabelaProcuras!$C$2:$C$51</c:f>
              <c:numCache>
                <c:formatCode>General</c:formatCode>
                <c:ptCount val="50"/>
                <c:pt idx="0">
                  <c:v>374</c:v>
                </c:pt>
                <c:pt idx="1">
                  <c:v>372</c:v>
                </c:pt>
                <c:pt idx="2">
                  <c:v>347</c:v>
                </c:pt>
                <c:pt idx="3">
                  <c:v>338</c:v>
                </c:pt>
                <c:pt idx="4">
                  <c:v>371</c:v>
                </c:pt>
                <c:pt idx="5">
                  <c:v>358</c:v>
                </c:pt>
                <c:pt idx="6">
                  <c:v>372</c:v>
                </c:pt>
                <c:pt idx="7">
                  <c:v>380</c:v>
                </c:pt>
                <c:pt idx="8">
                  <c:v>374</c:v>
                </c:pt>
                <c:pt idx="9">
                  <c:v>343</c:v>
                </c:pt>
                <c:pt idx="10">
                  <c:v>366</c:v>
                </c:pt>
                <c:pt idx="11">
                  <c:v>367</c:v>
                </c:pt>
                <c:pt idx="12">
                  <c:v>383</c:v>
                </c:pt>
                <c:pt idx="13">
                  <c:v>349</c:v>
                </c:pt>
                <c:pt idx="14">
                  <c:v>327</c:v>
                </c:pt>
                <c:pt idx="15">
                  <c:v>375</c:v>
                </c:pt>
                <c:pt idx="16">
                  <c:v>357</c:v>
                </c:pt>
                <c:pt idx="17">
                  <c:v>352</c:v>
                </c:pt>
                <c:pt idx="18">
                  <c:v>363</c:v>
                </c:pt>
                <c:pt idx="19">
                  <c:v>359</c:v>
                </c:pt>
                <c:pt idx="20">
                  <c:v>380</c:v>
                </c:pt>
                <c:pt idx="21">
                  <c:v>338</c:v>
                </c:pt>
                <c:pt idx="22">
                  <c:v>507</c:v>
                </c:pt>
                <c:pt idx="23">
                  <c:v>494</c:v>
                </c:pt>
                <c:pt idx="24">
                  <c:v>509</c:v>
                </c:pt>
                <c:pt idx="25">
                  <c:v>525</c:v>
                </c:pt>
                <c:pt idx="26">
                  <c:v>522</c:v>
                </c:pt>
                <c:pt idx="27">
                  <c:v>530</c:v>
                </c:pt>
                <c:pt idx="28">
                  <c:v>491</c:v>
                </c:pt>
                <c:pt idx="29">
                  <c:v>538</c:v>
                </c:pt>
                <c:pt idx="30">
                  <c:v>473</c:v>
                </c:pt>
                <c:pt idx="31">
                  <c:v>530</c:v>
                </c:pt>
                <c:pt idx="32">
                  <c:v>547</c:v>
                </c:pt>
                <c:pt idx="33">
                  <c:v>493</c:v>
                </c:pt>
                <c:pt idx="34">
                  <c:v>542</c:v>
                </c:pt>
                <c:pt idx="35">
                  <c:v>508</c:v>
                </c:pt>
                <c:pt idx="36">
                  <c:v>555</c:v>
                </c:pt>
                <c:pt idx="37">
                  <c:v>531</c:v>
                </c:pt>
                <c:pt idx="38">
                  <c:v>513</c:v>
                </c:pt>
                <c:pt idx="39">
                  <c:v>517</c:v>
                </c:pt>
                <c:pt idx="40">
                  <c:v>519</c:v>
                </c:pt>
                <c:pt idx="41">
                  <c:v>511</c:v>
                </c:pt>
                <c:pt idx="42">
                  <c:v>545</c:v>
                </c:pt>
                <c:pt idx="43">
                  <c:v>546</c:v>
                </c:pt>
                <c:pt idx="44">
                  <c:v>543</c:v>
                </c:pt>
                <c:pt idx="45">
                  <c:v>496</c:v>
                </c:pt>
                <c:pt idx="46">
                  <c:v>375</c:v>
                </c:pt>
                <c:pt idx="47">
                  <c:v>355</c:v>
                </c:pt>
                <c:pt idx="48">
                  <c:v>371</c:v>
                </c:pt>
                <c:pt idx="49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6-4451-9B7F-614B5098A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9428048"/>
        <c:axId val="589428688"/>
      </c:lineChart>
      <c:catAx>
        <c:axId val="5894280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589428688"/>
        <c:crosses val="autoZero"/>
        <c:auto val="1"/>
        <c:lblAlgn val="ctr"/>
        <c:lblOffset val="100"/>
        <c:noMultiLvlLbl val="0"/>
      </c:catAx>
      <c:valAx>
        <c:axId val="58942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58942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Regressão época alta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2.8882764654418198E-2"/>
                  <c:y val="-2.332968795567220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</c:trendlineLbl>
          </c:trendline>
          <c:xVal>
            <c:numRef>
              <c:f>'Política(s,S)'!$A$13:$A$15</c:f>
              <c:numCache>
                <c:formatCode>General</c:formatCode>
                <c:ptCount val="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</c:numCache>
            </c:numRef>
          </c:xVal>
          <c:yVal>
            <c:numRef>
              <c:f>'Política(s,S)'!$B$13:$B$15</c:f>
              <c:numCache>
                <c:formatCode>General</c:formatCode>
                <c:ptCount val="3"/>
                <c:pt idx="0">
                  <c:v>441.20833333333331</c:v>
                </c:pt>
                <c:pt idx="1">
                  <c:v>520.20833333333337</c:v>
                </c:pt>
                <c:pt idx="2">
                  <c:v>601.79166666666663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18-468F-87D0-88ECABA14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79800"/>
        <c:axId val="517883640"/>
      </c:scatterChart>
      <c:valAx>
        <c:axId val="517879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517883640"/>
        <c:crosses val="autoZero"/>
        <c:crossBetween val="midCat"/>
      </c:valAx>
      <c:valAx>
        <c:axId val="517883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517879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Regressão época baixa</a:t>
            </a:r>
          </a:p>
        </c:rich>
      </c:tx>
      <c:layout>
        <c:manualLayout>
          <c:xMode val="edge"/>
          <c:yMode val="edge"/>
          <c:x val="0.36080163159086653"/>
          <c:y val="3.21337341676296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>
        <c:manualLayout>
          <c:layoutTarget val="inner"/>
          <c:xMode val="edge"/>
          <c:yMode val="edge"/>
          <c:x val="7.9346777522646961E-2"/>
          <c:y val="0.18097222222222226"/>
          <c:w val="0.8552311123812902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0294224808890669"/>
                  <c:y val="-1.877528182080077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PT"/>
                </a:p>
              </c:txPr>
            </c:trendlineLbl>
          </c:trendline>
          <c:xVal>
            <c:numRef>
              <c:f>'Política(s,S)'!$I$13:$I$15</c:f>
              <c:numCache>
                <c:formatCode>General</c:formatCode>
                <c:ptCount val="3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</c:numCache>
            </c:numRef>
          </c:xVal>
          <c:yVal>
            <c:numRef>
              <c:f>'Política(s,S)'!$J$13:$J$15</c:f>
              <c:numCache>
                <c:formatCode>General</c:formatCode>
                <c:ptCount val="3"/>
                <c:pt idx="0">
                  <c:v>308.96153846153845</c:v>
                </c:pt>
                <c:pt idx="1">
                  <c:v>362.34615384615387</c:v>
                </c:pt>
                <c:pt idx="2">
                  <c:v>426.88461538461536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F3-45AB-A290-7A0036B4B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7747768"/>
        <c:axId val="647747128"/>
      </c:scatterChart>
      <c:valAx>
        <c:axId val="647747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647747128"/>
        <c:crosses val="autoZero"/>
        <c:crossBetween val="midCat"/>
      </c:valAx>
      <c:valAx>
        <c:axId val="64774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647747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Custo Total ao longo do ano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'Modelo de Simulação'!$S$4:$S$53</c:f>
              <c:numCache>
                <c:formatCode>_("€"* #,##0_);_("€"* \(#,##0\);_("€"* "-"_);_(@_)</c:formatCode>
                <c:ptCount val="50"/>
                <c:pt idx="0">
                  <c:v>2471.7282891716795</c:v>
                </c:pt>
                <c:pt idx="1">
                  <c:v>844.86673958915139</c:v>
                </c:pt>
                <c:pt idx="2">
                  <c:v>717.44151093660798</c:v>
                </c:pt>
                <c:pt idx="3">
                  <c:v>739.56847229474022</c:v>
                </c:pt>
                <c:pt idx="4">
                  <c:v>2120.4107358291722</c:v>
                </c:pt>
                <c:pt idx="5">
                  <c:v>501.25841236611865</c:v>
                </c:pt>
                <c:pt idx="6">
                  <c:v>879.4640930607593</c:v>
                </c:pt>
                <c:pt idx="7">
                  <c:v>756.18627343183789</c:v>
                </c:pt>
                <c:pt idx="8">
                  <c:v>2087.235375336079</c:v>
                </c:pt>
                <c:pt idx="9">
                  <c:v>414.23891576421528</c:v>
                </c:pt>
                <c:pt idx="10">
                  <c:v>852.16807543080313</c:v>
                </c:pt>
                <c:pt idx="11">
                  <c:v>733.17118887748575</c:v>
                </c:pt>
                <c:pt idx="12">
                  <c:v>2128.5325375931243</c:v>
                </c:pt>
                <c:pt idx="13">
                  <c:v>999.71127280788926</c:v>
                </c:pt>
                <c:pt idx="14">
                  <c:v>895.18343411885132</c:v>
                </c:pt>
                <c:pt idx="15">
                  <c:v>798.12734881234758</c:v>
                </c:pt>
                <c:pt idx="16">
                  <c:v>2189.5586888777116</c:v>
                </c:pt>
                <c:pt idx="17">
                  <c:v>995.18125781272272</c:v>
                </c:pt>
                <c:pt idx="18">
                  <c:v>898.98757063007645</c:v>
                </c:pt>
                <c:pt idx="19">
                  <c:v>823.80702454187565</c:v>
                </c:pt>
                <c:pt idx="20">
                  <c:v>2231.8541970359579</c:v>
                </c:pt>
                <c:pt idx="21">
                  <c:v>974.15335203796633</c:v>
                </c:pt>
                <c:pt idx="22">
                  <c:v>821.32015721722303</c:v>
                </c:pt>
                <c:pt idx="23">
                  <c:v>656.87956034536433</c:v>
                </c:pt>
                <c:pt idx="24">
                  <c:v>1981.2601749598909</c:v>
                </c:pt>
                <c:pt idx="25">
                  <c:v>308.42307481697065</c:v>
                </c:pt>
                <c:pt idx="26">
                  <c:v>792.26425062691681</c:v>
                </c:pt>
                <c:pt idx="27">
                  <c:v>621.50353340341985</c:v>
                </c:pt>
                <c:pt idx="28">
                  <c:v>1957.5363108813121</c:v>
                </c:pt>
                <c:pt idx="29">
                  <c:v>266.33274567560795</c:v>
                </c:pt>
                <c:pt idx="30">
                  <c:v>11502.172428295715</c:v>
                </c:pt>
                <c:pt idx="31">
                  <c:v>545.84750076563125</c:v>
                </c:pt>
                <c:pt idx="32">
                  <c:v>1835.4819842075735</c:v>
                </c:pt>
                <c:pt idx="33">
                  <c:v>160.86787495107146</c:v>
                </c:pt>
                <c:pt idx="34">
                  <c:v>17688.544155633852</c:v>
                </c:pt>
                <c:pt idx="35">
                  <c:v>659.82971621101137</c:v>
                </c:pt>
                <c:pt idx="36">
                  <c:v>1946.213007483306</c:v>
                </c:pt>
                <c:pt idx="37">
                  <c:v>269.70096206498812</c:v>
                </c:pt>
                <c:pt idx="38">
                  <c:v>86.739500332502658</c:v>
                </c:pt>
                <c:pt idx="39">
                  <c:v>606.17310928303323</c:v>
                </c:pt>
                <c:pt idx="40">
                  <c:v>1937.7993720640611</c:v>
                </c:pt>
                <c:pt idx="41">
                  <c:v>257.65316923188141</c:v>
                </c:pt>
                <c:pt idx="42">
                  <c:v>775.29187744841659</c:v>
                </c:pt>
                <c:pt idx="43">
                  <c:v>579.51070643772084</c:v>
                </c:pt>
                <c:pt idx="44">
                  <c:v>1870.3532192745197</c:v>
                </c:pt>
                <c:pt idx="45">
                  <c:v>953.5262195727862</c:v>
                </c:pt>
                <c:pt idx="46">
                  <c:v>799.98917402342192</c:v>
                </c:pt>
                <c:pt idx="47">
                  <c:v>678.04099810203695</c:v>
                </c:pt>
                <c:pt idx="48">
                  <c:v>2048.682456300372</c:v>
                </c:pt>
                <c:pt idx="49">
                  <c:v>416.28090748782694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08-499E-8A93-12F2116928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6381264"/>
        <c:axId val="676382224"/>
      </c:lineChart>
      <c:catAx>
        <c:axId val="676381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Semanas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676382224"/>
        <c:crosses val="autoZero"/>
        <c:auto val="1"/>
        <c:lblAlgn val="ctr"/>
        <c:lblOffset val="100"/>
        <c:noMultiLvlLbl val="0"/>
      </c:catAx>
      <c:valAx>
        <c:axId val="67638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Custos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_(&quot;€&quot;* #,##0_);_(&quot;€&quot;* \(#,##0\);_(&quot;€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6763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Quantidade</a:t>
            </a:r>
            <a:r>
              <a:rPr lang="pt-PT" baseline="0"/>
              <a:t> em q</a:t>
            </a:r>
            <a:r>
              <a:rPr lang="pt-PT"/>
              <a:t>uebra ao longo do ano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'Modelo de Simulação'!$J$4:$J$53</c:f>
              <c:numCache>
                <c:formatCode>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300.59713093409243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464.58794661182412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5-4326-9DF0-C3A3EA14E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4847224"/>
        <c:axId val="534850424"/>
      </c:lineChart>
      <c:catAx>
        <c:axId val="534847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Semanas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534850424"/>
        <c:crosses val="autoZero"/>
        <c:auto val="1"/>
        <c:lblAlgn val="ctr"/>
        <c:lblOffset val="100"/>
        <c:noMultiLvlLbl val="0"/>
      </c:catAx>
      <c:valAx>
        <c:axId val="53485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quantidade em quebra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534847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5.png"/><Relationship Id="rId7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chart" Target="../charts/chart1.xml"/><Relationship Id="rId9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205740</xdr:colOff>
      <xdr:row>2</xdr:row>
      <xdr:rowOff>144780</xdr:rowOff>
    </xdr:from>
    <xdr:to>
      <xdr:col>4</xdr:col>
      <xdr:colOff>592455</xdr:colOff>
      <xdr:row>7</xdr:row>
      <xdr:rowOff>32266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9635"/>
        <a:stretch/>
      </xdr:blipFill>
      <xdr:spPr>
        <a:xfrm>
          <a:off x="1424940" y="516255"/>
          <a:ext cx="1605915" cy="8018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28576</xdr:colOff>
      <xdr:row>4</xdr:row>
      <xdr:rowOff>19050</xdr:rowOff>
    </xdr:from>
    <xdr:to>
      <xdr:col>23</xdr:col>
      <xdr:colOff>211456</xdr:colOff>
      <xdr:row>7</xdr:row>
      <xdr:rowOff>22748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87201" y="742950"/>
          <a:ext cx="3234690" cy="5428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290019</xdr:colOff>
      <xdr:row>58</xdr:row>
      <xdr:rowOff>7620</xdr:rowOff>
    </xdr:from>
    <xdr:to>
      <xdr:col>2</xdr:col>
      <xdr:colOff>1654825</xdr:colOff>
      <xdr:row>61</xdr:row>
      <xdr:rowOff>53340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6879" y="10614660"/>
          <a:ext cx="3052636" cy="586740"/>
        </a:xfrm>
        <a:prstGeom prst="rect">
          <a:avLst/>
        </a:prstGeom>
      </xdr:spPr>
    </xdr:pic>
    <xdr:clientData/>
  </xdr:twoCellAnchor>
  <xdr:twoCellAnchor editAs="oneCell">
    <xdr:from>
      <xdr:col>9</xdr:col>
      <xdr:colOff>14903</xdr:colOff>
      <xdr:row>7</xdr:row>
      <xdr:rowOff>135256</xdr:rowOff>
    </xdr:from>
    <xdr:to>
      <xdr:col>11</xdr:col>
      <xdr:colOff>60063</xdr:colOff>
      <xdr:row>10</xdr:row>
      <xdr:rowOff>132472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164756" y="1435138"/>
          <a:ext cx="1535766" cy="538909"/>
        </a:xfrm>
        <a:prstGeom prst="rect">
          <a:avLst/>
        </a:prstGeom>
      </xdr:spPr>
    </xdr:pic>
    <xdr:clientData/>
  </xdr:twoCellAnchor>
  <xdr:twoCellAnchor editAs="oneCell">
    <xdr:from>
      <xdr:col>9</xdr:col>
      <xdr:colOff>8964</xdr:colOff>
      <xdr:row>2</xdr:row>
      <xdr:rowOff>152400</xdr:rowOff>
    </xdr:from>
    <xdr:to>
      <xdr:col>12</xdr:col>
      <xdr:colOff>436356</xdr:colOff>
      <xdr:row>6</xdr:row>
      <xdr:rowOff>98970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58817" y="555812"/>
          <a:ext cx="2717426" cy="659936"/>
        </a:xfrm>
        <a:prstGeom prst="rect">
          <a:avLst/>
        </a:prstGeom>
      </xdr:spPr>
    </xdr:pic>
    <xdr:clientData/>
  </xdr:twoCellAnchor>
  <xdr:twoCellAnchor>
    <xdr:from>
      <xdr:col>6</xdr:col>
      <xdr:colOff>15351</xdr:colOff>
      <xdr:row>32</xdr:row>
      <xdr:rowOff>11206</xdr:rowOff>
    </xdr:from>
    <xdr:to>
      <xdr:col>12</xdr:col>
      <xdr:colOff>603211</xdr:colOff>
      <xdr:row>48</xdr:row>
      <xdr:rowOff>153073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14904</xdr:colOff>
      <xdr:row>11</xdr:row>
      <xdr:rowOff>167641</xdr:rowOff>
    </xdr:from>
    <xdr:to>
      <xdr:col>12</xdr:col>
      <xdr:colOff>18509</xdr:colOff>
      <xdr:row>13</xdr:row>
      <xdr:rowOff>114300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164757" y="2184700"/>
          <a:ext cx="2284114" cy="305247"/>
        </a:xfrm>
        <a:prstGeom prst="rect">
          <a:avLst/>
        </a:prstGeom>
      </xdr:spPr>
    </xdr:pic>
    <xdr:clientData/>
  </xdr:twoCellAnchor>
  <xdr:twoCellAnchor editAs="oneCell">
    <xdr:from>
      <xdr:col>9</xdr:col>
      <xdr:colOff>5715</xdr:colOff>
      <xdr:row>14</xdr:row>
      <xdr:rowOff>167640</xdr:rowOff>
    </xdr:from>
    <xdr:to>
      <xdr:col>11</xdr:col>
      <xdr:colOff>171420</xdr:colOff>
      <xdr:row>17</xdr:row>
      <xdr:rowOff>17145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169015" y="2748915"/>
          <a:ext cx="1648355" cy="39624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</xdr:row>
      <xdr:rowOff>0</xdr:rowOff>
    </xdr:from>
    <xdr:to>
      <xdr:col>13</xdr:col>
      <xdr:colOff>132789</xdr:colOff>
      <xdr:row>22</xdr:row>
      <xdr:rowOff>3698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163300" y="3486150"/>
          <a:ext cx="3234690" cy="546623"/>
        </a:xfrm>
        <a:prstGeom prst="rect">
          <a:avLst/>
        </a:prstGeom>
      </xdr:spPr>
    </xdr:pic>
    <xdr:clientData/>
  </xdr:twoCellAnchor>
  <xdr:twoCellAnchor>
    <xdr:from>
      <xdr:col>0</xdr:col>
      <xdr:colOff>893780</xdr:colOff>
      <xdr:row>63</xdr:row>
      <xdr:rowOff>175036</xdr:rowOff>
    </xdr:from>
    <xdr:to>
      <xdr:col>4</xdr:col>
      <xdr:colOff>77544</xdr:colOff>
      <xdr:row>80</xdr:row>
      <xdr:rowOff>26558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594359</xdr:colOff>
      <xdr:row>63</xdr:row>
      <xdr:rowOff>168591</xdr:rowOff>
    </xdr:from>
    <xdr:to>
      <xdr:col>11</xdr:col>
      <xdr:colOff>548640</xdr:colOff>
      <xdr:row>80</xdr:row>
      <xdr:rowOff>54428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17</xdr:row>
      <xdr:rowOff>1905</xdr:rowOff>
    </xdr:from>
    <xdr:to>
      <xdr:col>7</xdr:col>
      <xdr:colOff>295275</xdr:colOff>
      <xdr:row>32</xdr:row>
      <xdr:rowOff>30481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</xdr:colOff>
      <xdr:row>16</xdr:row>
      <xdr:rowOff>179069</xdr:rowOff>
    </xdr:from>
    <xdr:to>
      <xdr:col>15</xdr:col>
      <xdr:colOff>255270</xdr:colOff>
      <xdr:row>32</xdr:row>
      <xdr:rowOff>26669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38</xdr:row>
          <xdr:rowOff>137160</xdr:rowOff>
        </xdr:from>
        <xdr:to>
          <xdr:col>8</xdr:col>
          <xdr:colOff>304800</xdr:colOff>
          <xdr:row>41</xdr:row>
          <xdr:rowOff>121920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5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Simular Custo Total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38</xdr:row>
          <xdr:rowOff>167640</xdr:rowOff>
        </xdr:from>
        <xdr:to>
          <xdr:col>8</xdr:col>
          <xdr:colOff>274320</xdr:colOff>
          <xdr:row>41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Simular Nível de Serviço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</xdr:colOff>
      <xdr:row>1</xdr:row>
      <xdr:rowOff>133351</xdr:rowOff>
    </xdr:from>
    <xdr:to>
      <xdr:col>10</xdr:col>
      <xdr:colOff>398145</xdr:colOff>
      <xdr:row>18</xdr:row>
      <xdr:rowOff>68581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607695</xdr:colOff>
      <xdr:row>19</xdr:row>
      <xdr:rowOff>168592</xdr:rowOff>
    </xdr:from>
    <xdr:to>
      <xdr:col>10</xdr:col>
      <xdr:colOff>455295</xdr:colOff>
      <xdr:row>36</xdr:row>
      <xdr:rowOff>19050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278E4A2D-7773-495A-912E-1153A31952AB}" autoFormatId="16" applyNumberFormats="0" applyBorderFormats="0" applyFontFormats="0" applyPatternFormats="0" applyAlignmentFormats="0" applyWidthHeightFormats="0">
  <queryTableRefresh nextId="5">
    <queryTableFields count="4">
      <queryTableField id="1" name="Semanas" tableColumnId="1"/>
      <queryTableField id="2" name="2018" tableColumnId="2"/>
      <queryTableField id="3" name="2019" tableColumnId="3"/>
      <queryTableField id="4" name="2020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0232E01-92BE-4355-A4F7-94370AD9B250}" name="Tabela310" displayName="Tabela310" ref="B5:C8" totalsRowShown="0">
  <autoFilter ref="B5:C8" xr:uid="{916374D2-84D2-4B3E-A97E-5ABF48D12804}"/>
  <tableColumns count="2">
    <tableColumn id="1" xr3:uid="{EC5D1F66-E472-4762-B9B8-23A000802B33}" name="LT"/>
    <tableColumn id="2" xr3:uid="{8129DB2F-6E7E-4119-B904-510C5C9BCB1E}" name="Probabilidade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462FB4-FC83-4636-A6C5-404CBD799266}" name="Table001__Page_1" displayName="Table001__Page_1" ref="A1:D51" tableType="queryTable" totalsRowShown="0">
  <autoFilter ref="A1:D51" xr:uid="{75A5523D-66D0-4C7E-BEC5-4E243F4CD55D}"/>
  <sortState xmlns:xlrd2="http://schemas.microsoft.com/office/spreadsheetml/2017/richdata2" ref="A2:D51">
    <sortCondition ref="A1:A51"/>
  </sortState>
  <tableColumns count="4">
    <tableColumn id="1" xr3:uid="{E73C5F3C-6716-43E6-9CD6-31D8BD309A65}" uniqueName="1" name="Semanas" queryTableFieldId="1"/>
    <tableColumn id="2" xr3:uid="{5CE9B5E3-EBAF-41E9-99D3-AB94F4C29330}" uniqueName="2" name="2018" queryTableFieldId="2"/>
    <tableColumn id="3" xr3:uid="{ED598C37-93C2-4EBF-87CC-CC459BB39B19}" uniqueName="3" name="2019" queryTableFieldId="3"/>
    <tableColumn id="4" xr3:uid="{D1F08595-692D-466D-B854-EDEA0E91D4C3}" uniqueName="4" name="2020" queryTableFieldId="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9CBAD-81EC-41D8-BCF3-F584463059F2}">
  <sheetPr codeName="Folha1"/>
  <dimension ref="C2:P26"/>
  <sheetViews>
    <sheetView topLeftCell="B1" workbookViewId="0">
      <selection activeCell="F28" sqref="F28"/>
    </sheetView>
  </sheetViews>
  <sheetFormatPr defaultRowHeight="14.4"/>
  <sheetData>
    <row r="2" spans="3:16" ht="15" thickBot="1"/>
    <row r="3" spans="3:16" ht="15" customHeight="1" thickTop="1">
      <c r="C3" s="104" t="s">
        <v>62</v>
      </c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6"/>
    </row>
    <row r="4" spans="3:16" ht="14.4" customHeight="1">
      <c r="C4" s="107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9"/>
    </row>
    <row r="5" spans="3:16" ht="14.4" customHeight="1">
      <c r="C5" s="107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9"/>
    </row>
    <row r="6" spans="3:16" ht="14.4" customHeight="1">
      <c r="C6" s="107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9"/>
    </row>
    <row r="7" spans="3:16" ht="14.4" customHeight="1">
      <c r="C7" s="107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9"/>
    </row>
    <row r="8" spans="3:16" ht="15" customHeight="1" thickBot="1">
      <c r="C8" s="110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112"/>
    </row>
    <row r="9" spans="3:16" ht="15" thickTop="1"/>
    <row r="10" spans="3:16">
      <c r="C10" s="113" t="s">
        <v>63</v>
      </c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</row>
    <row r="11" spans="3:16"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P11" s="113"/>
    </row>
    <row r="12" spans="3:16"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</row>
    <row r="13" spans="3:16"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3"/>
    </row>
    <row r="15" spans="3:16">
      <c r="F15" s="114" t="s">
        <v>38</v>
      </c>
      <c r="G15" s="113"/>
      <c r="H15" s="113"/>
      <c r="I15" s="113"/>
      <c r="J15" s="113"/>
      <c r="K15" s="113"/>
      <c r="L15" s="113"/>
      <c r="M15" s="113"/>
    </row>
    <row r="16" spans="3:16">
      <c r="F16" s="113"/>
      <c r="G16" s="113"/>
      <c r="H16" s="113"/>
      <c r="I16" s="113"/>
      <c r="J16" s="113"/>
      <c r="K16" s="113"/>
      <c r="L16" s="113"/>
      <c r="M16" s="113"/>
    </row>
    <row r="20" spans="3:16" ht="15.6">
      <c r="C20" s="101" t="s">
        <v>39</v>
      </c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</row>
    <row r="21" spans="3:16">
      <c r="C21" s="102"/>
      <c r="D21" s="102"/>
      <c r="E21" s="103" t="s">
        <v>41</v>
      </c>
      <c r="F21" s="103"/>
      <c r="G21" s="103"/>
      <c r="H21" s="103"/>
      <c r="I21" s="1"/>
      <c r="J21" s="1"/>
      <c r="K21" s="1"/>
      <c r="L21" s="1"/>
      <c r="M21" s="1"/>
      <c r="N21" s="1"/>
      <c r="O21" s="1"/>
      <c r="P21" s="1"/>
    </row>
    <row r="22" spans="3:16">
      <c r="C22" s="102"/>
      <c r="D22" s="102"/>
      <c r="E22" s="22" t="s">
        <v>40</v>
      </c>
      <c r="F22" s="22"/>
      <c r="G22" s="22"/>
      <c r="H22" s="23" t="s">
        <v>50</v>
      </c>
      <c r="I22" s="1"/>
      <c r="J22" s="1"/>
      <c r="K22" s="1"/>
      <c r="L22" s="1"/>
      <c r="M22" s="1"/>
      <c r="N22" s="1"/>
      <c r="O22" s="1"/>
      <c r="P22" s="1"/>
    </row>
    <row r="23" spans="3:16">
      <c r="C23" s="102"/>
      <c r="D23" s="102"/>
      <c r="E23" s="100" t="s">
        <v>42</v>
      </c>
      <c r="F23" s="100"/>
      <c r="G23" s="100"/>
      <c r="H23" s="23" t="s">
        <v>46</v>
      </c>
      <c r="I23" s="1"/>
      <c r="J23" s="1"/>
      <c r="K23" s="1"/>
      <c r="L23" s="1"/>
      <c r="M23" s="1"/>
      <c r="N23" s="1"/>
      <c r="O23" s="1"/>
      <c r="P23" s="1"/>
    </row>
    <row r="24" spans="3:16">
      <c r="C24" s="102"/>
      <c r="D24" s="102"/>
      <c r="E24" s="100" t="s">
        <v>43</v>
      </c>
      <c r="F24" s="100"/>
      <c r="G24" s="100"/>
      <c r="H24" s="23" t="s">
        <v>45</v>
      </c>
      <c r="I24" s="1"/>
      <c r="J24" s="1"/>
      <c r="K24" s="1"/>
      <c r="L24" s="1"/>
      <c r="M24" s="1"/>
      <c r="N24" s="1"/>
      <c r="O24" s="1"/>
      <c r="P24" s="1"/>
    </row>
    <row r="25" spans="3:16">
      <c r="C25" s="102"/>
      <c r="D25" s="102"/>
      <c r="E25" s="100" t="s">
        <v>44</v>
      </c>
      <c r="F25" s="100"/>
      <c r="G25" s="100"/>
      <c r="H25" s="23" t="s">
        <v>61</v>
      </c>
      <c r="I25" s="1"/>
      <c r="J25" s="1"/>
      <c r="K25" s="1"/>
      <c r="L25" s="1"/>
      <c r="M25" s="1"/>
      <c r="N25" s="1"/>
      <c r="O25" s="1"/>
      <c r="P25" s="1"/>
    </row>
    <row r="26" spans="3:16"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</sheetData>
  <mergeCells count="9">
    <mergeCell ref="E25:G25"/>
    <mergeCell ref="C20:P20"/>
    <mergeCell ref="C21:D25"/>
    <mergeCell ref="E21:H21"/>
    <mergeCell ref="C3:P8"/>
    <mergeCell ref="C10:P13"/>
    <mergeCell ref="F15:M16"/>
    <mergeCell ref="E23:G23"/>
    <mergeCell ref="E24:G2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8D43A-71C6-412D-A5F9-25DCB174E373}">
  <sheetPr codeName="Folha2"/>
  <dimension ref="A1:P36"/>
  <sheetViews>
    <sheetView zoomScale="85" zoomScaleNormal="85" workbookViewId="0">
      <selection activeCell="W32" sqref="W32"/>
    </sheetView>
  </sheetViews>
  <sheetFormatPr defaultRowHeight="14.4"/>
  <cols>
    <col min="1" max="1" width="9.77734375" customWidth="1"/>
    <col min="2" max="2" width="13.77734375" customWidth="1"/>
    <col min="3" max="3" width="16.109375" customWidth="1"/>
    <col min="6" max="6" width="10.33203125" customWidth="1"/>
  </cols>
  <sheetData>
    <row r="1" spans="1:16">
      <c r="A1" s="120" t="s">
        <v>19</v>
      </c>
      <c r="B1" s="120"/>
      <c r="C1" s="120"/>
      <c r="D1" s="120"/>
      <c r="E1" s="120"/>
      <c r="F1" s="120"/>
      <c r="G1" s="120"/>
      <c r="H1" s="120"/>
    </row>
    <row r="2" spans="1:16">
      <c r="A2" s="120"/>
      <c r="B2" s="120"/>
      <c r="C2" s="120"/>
      <c r="D2" s="120"/>
      <c r="E2" s="120"/>
      <c r="F2" s="120"/>
      <c r="G2" s="120"/>
      <c r="H2" s="120"/>
    </row>
    <row r="5" spans="1:16">
      <c r="B5" t="s">
        <v>6</v>
      </c>
      <c r="C5" t="s">
        <v>7</v>
      </c>
      <c r="F5" s="117" t="s">
        <v>33</v>
      </c>
      <c r="G5" s="117"/>
      <c r="H5" s="117"/>
      <c r="I5" s="117"/>
      <c r="L5" s="117" t="s">
        <v>55</v>
      </c>
      <c r="M5" s="117"/>
      <c r="N5" s="117"/>
      <c r="O5" s="117"/>
      <c r="P5" s="117"/>
    </row>
    <row r="6" spans="1:16">
      <c r="B6">
        <v>1</v>
      </c>
      <c r="C6">
        <v>0.26</v>
      </c>
      <c r="F6" s="18" t="s">
        <v>12</v>
      </c>
      <c r="G6">
        <v>1700</v>
      </c>
      <c r="H6" s="118" t="s">
        <v>15</v>
      </c>
      <c r="I6" s="118"/>
      <c r="L6" s="14" t="s">
        <v>12</v>
      </c>
      <c r="M6" s="14"/>
      <c r="N6" s="119">
        <f>G6</f>
        <v>1700</v>
      </c>
      <c r="O6" s="119"/>
    </row>
    <row r="7" spans="1:16">
      <c r="B7">
        <v>2</v>
      </c>
      <c r="C7">
        <v>0.6</v>
      </c>
      <c r="F7" s="18" t="s">
        <v>13</v>
      </c>
      <c r="G7" s="16">
        <v>1200</v>
      </c>
      <c r="H7" s="118" t="s">
        <v>16</v>
      </c>
      <c r="I7" s="118"/>
      <c r="L7" s="14" t="s">
        <v>24</v>
      </c>
      <c r="M7" s="14"/>
      <c r="N7" s="119">
        <f>(G7-TabelaProcuras!D55)/TabelaProcuras!D56</f>
        <v>0.55121095913997098</v>
      </c>
      <c r="O7" s="119"/>
    </row>
    <row r="8" spans="1:16">
      <c r="B8">
        <v>3</v>
      </c>
      <c r="C8">
        <v>0.14000000000000001</v>
      </c>
      <c r="F8" s="18" t="s">
        <v>14</v>
      </c>
      <c r="G8" s="16">
        <v>1500</v>
      </c>
      <c r="H8" s="118" t="s">
        <v>32</v>
      </c>
      <c r="I8" s="118"/>
      <c r="L8" s="14" t="s">
        <v>23</v>
      </c>
      <c r="M8" s="14"/>
      <c r="N8" s="119">
        <f xml:space="preserve"> N7*100/3</f>
        <v>18.373698637999031</v>
      </c>
      <c r="O8" s="119"/>
      <c r="P8" t="s">
        <v>57</v>
      </c>
    </row>
    <row r="9" spans="1:16">
      <c r="F9" s="18" t="s">
        <v>17</v>
      </c>
      <c r="G9" s="16">
        <v>0.15</v>
      </c>
      <c r="H9" s="118" t="s">
        <v>28</v>
      </c>
      <c r="I9" s="118"/>
      <c r="L9" s="14" t="s">
        <v>4</v>
      </c>
      <c r="M9" s="14"/>
      <c r="N9" s="119">
        <v>0.29324899999999998</v>
      </c>
      <c r="O9" s="119"/>
    </row>
    <row r="10" spans="1:16">
      <c r="B10" s="8" t="s">
        <v>11</v>
      </c>
      <c r="C10" s="7">
        <f>C6*B6+C7*B7+C8*B8</f>
        <v>1.88</v>
      </c>
      <c r="D10" s="24" t="s">
        <v>47</v>
      </c>
      <c r="F10" s="18" t="s">
        <v>18</v>
      </c>
      <c r="G10" s="17">
        <v>38</v>
      </c>
      <c r="H10" s="118" t="s">
        <v>32</v>
      </c>
      <c r="I10" s="118"/>
      <c r="L10" s="14" t="s">
        <v>56</v>
      </c>
      <c r="M10" s="14"/>
      <c r="N10" s="119">
        <v>0.182057</v>
      </c>
      <c r="O10" s="119"/>
    </row>
    <row r="11" spans="1:16">
      <c r="B11" s="11" t="s">
        <v>10</v>
      </c>
      <c r="C11" s="12">
        <f>_xlfn.STDEV.P(Tabela310[LT])</f>
        <v>0.81649658092772603</v>
      </c>
      <c r="D11" s="12" t="s">
        <v>48</v>
      </c>
      <c r="F11" s="18" t="s">
        <v>20</v>
      </c>
      <c r="G11" s="16">
        <v>115</v>
      </c>
      <c r="H11" s="118" t="s">
        <v>29</v>
      </c>
      <c r="I11" s="118"/>
      <c r="L11" s="14" t="s">
        <v>5</v>
      </c>
      <c r="M11" s="14"/>
      <c r="N11" s="119">
        <f>N10*TabelaProcuras!D56</f>
        <v>79.143281283205141</v>
      </c>
      <c r="O11" s="119"/>
    </row>
    <row r="12" spans="1:16">
      <c r="D12" s="12" t="s">
        <v>49</v>
      </c>
      <c r="F12" s="18" t="s">
        <v>27</v>
      </c>
      <c r="G12" s="16">
        <f>(G9*G11)/50</f>
        <v>0.34499999999999997</v>
      </c>
      <c r="H12" s="118" t="s">
        <v>30</v>
      </c>
      <c r="I12" s="118"/>
    </row>
    <row r="13" spans="1:16">
      <c r="L13" s="116" t="s">
        <v>34</v>
      </c>
      <c r="M13" s="116"/>
      <c r="N13" s="116"/>
      <c r="O13" s="116"/>
      <c r="P13" s="116"/>
    </row>
    <row r="14" spans="1:16">
      <c r="L14" s="115">
        <f>G12*(G6/2+G7-TabelaProcuras!D55)+'Atual-N.Encomenda'!G10*(TabelaProcuras!D53/'Atual-N.Encomenda'!G6)*N11+('Atual-N.Encomenda'!G8*TabelaProcuras!D53/'Atual-N.Encomenda'!G6)</f>
        <v>1730.3797905923973</v>
      </c>
      <c r="M14" s="115"/>
      <c r="N14" s="115"/>
      <c r="O14" s="115"/>
      <c r="P14" s="115"/>
    </row>
    <row r="18" spans="6:16">
      <c r="F18" s="25" t="s">
        <v>51</v>
      </c>
      <c r="G18" s="25" t="s">
        <v>93</v>
      </c>
      <c r="H18" s="25"/>
      <c r="I18" s="25"/>
      <c r="J18" s="21"/>
      <c r="L18" s="117" t="s">
        <v>94</v>
      </c>
      <c r="M18" s="117"/>
      <c r="N18" s="117"/>
      <c r="O18" s="117"/>
      <c r="P18" s="21"/>
    </row>
    <row r="20" spans="6:16">
      <c r="F20" s="25" t="s">
        <v>58</v>
      </c>
      <c r="G20" s="25"/>
      <c r="H20" s="25"/>
      <c r="I20" s="25"/>
      <c r="J20" s="21"/>
      <c r="L20" s="117" t="s">
        <v>58</v>
      </c>
      <c r="M20" s="117"/>
      <c r="N20" s="117"/>
      <c r="O20" s="117"/>
      <c r="P20" s="21"/>
    </row>
    <row r="21" spans="6:16">
      <c r="F21" s="14" t="s">
        <v>12</v>
      </c>
      <c r="G21" s="14"/>
      <c r="H21" s="1">
        <f>G6</f>
        <v>1700</v>
      </c>
      <c r="I21" s="1"/>
      <c r="L21" s="14" t="s">
        <v>12</v>
      </c>
      <c r="M21" s="14"/>
      <c r="N21" s="1">
        <f>G6</f>
        <v>1700</v>
      </c>
      <c r="O21" s="1"/>
    </row>
    <row r="22" spans="6:16">
      <c r="F22" s="14" t="s">
        <v>24</v>
      </c>
      <c r="G22" s="14"/>
      <c r="H22" s="1">
        <f>(G7-TabelaProcuras!G57)/TabelaProcuras!G58</f>
        <v>1.1356450048773741</v>
      </c>
      <c r="I22" s="1"/>
      <c r="L22" s="14" t="s">
        <v>24</v>
      </c>
      <c r="M22" s="14"/>
      <c r="N22" s="1">
        <f>(G7-TabelaProcuras!H57)/TabelaProcuras!H58</f>
        <v>0.13958249312734392</v>
      </c>
      <c r="O22" s="1"/>
    </row>
    <row r="23" spans="6:16">
      <c r="F23" s="14" t="s">
        <v>23</v>
      </c>
      <c r="G23" s="14"/>
      <c r="H23" s="1">
        <f xml:space="preserve"> H22*100/3</f>
        <v>37.854833495912466</v>
      </c>
      <c r="I23" t="s">
        <v>59</v>
      </c>
      <c r="L23" s="14" t="s">
        <v>23</v>
      </c>
      <c r="M23" s="14"/>
      <c r="N23" s="1">
        <f xml:space="preserve"> N22*100/3</f>
        <v>4.6527497709114636</v>
      </c>
      <c r="O23" t="s">
        <v>60</v>
      </c>
    </row>
    <row r="24" spans="6:16">
      <c r="F24" s="14" t="s">
        <v>4</v>
      </c>
      <c r="G24" s="14"/>
      <c r="H24" s="1">
        <v>0.12579299999999999</v>
      </c>
      <c r="I24" s="1"/>
      <c r="L24" s="14" t="s">
        <v>4</v>
      </c>
      <c r="M24" s="14"/>
      <c r="N24" s="1">
        <v>0.43903199999999998</v>
      </c>
      <c r="O24" s="1"/>
    </row>
    <row r="25" spans="6:16">
      <c r="F25" s="14" t="s">
        <v>56</v>
      </c>
      <c r="G25" s="14"/>
      <c r="H25" s="1">
        <v>6.0486999999999999E-2</v>
      </c>
      <c r="I25" s="1"/>
      <c r="L25" s="14" t="s">
        <v>56</v>
      </c>
      <c r="M25" s="14"/>
      <c r="N25" s="1">
        <v>0.32422200000000001</v>
      </c>
      <c r="O25" s="1"/>
    </row>
    <row r="26" spans="6:16">
      <c r="F26" s="14" t="s">
        <v>5</v>
      </c>
      <c r="G26" s="14"/>
      <c r="H26" s="1">
        <f>H25*TabelaProcuras!G58</f>
        <v>21.169445915800001</v>
      </c>
      <c r="I26" s="1"/>
      <c r="L26" s="14" t="s">
        <v>5</v>
      </c>
      <c r="M26" s="14"/>
      <c r="N26" s="1">
        <f>N25*TabelaProcuras!H58</f>
        <v>159.41830386780001</v>
      </c>
      <c r="O26" s="1"/>
    </row>
    <row r="28" spans="6:16">
      <c r="F28" s="116" t="s">
        <v>34</v>
      </c>
      <c r="G28" s="116"/>
      <c r="H28" s="116"/>
      <c r="I28" s="116"/>
      <c r="J28" s="116"/>
      <c r="L28" s="116" t="s">
        <v>34</v>
      </c>
      <c r="M28" s="116"/>
      <c r="N28" s="116"/>
      <c r="O28" s="116"/>
      <c r="P28" s="116"/>
    </row>
    <row r="29" spans="6:16">
      <c r="F29" s="115">
        <f>G12*(G6/2+G7-TabelaProcuras!G57)+'Atual-N.Encomenda'!G10*TabelaProcuras!G59/'Atual-N.Encomenda'!G6*H26+'Atual-N.Encomenda'!G8*TabelaProcuras!G59/'Atual-N.Encomenda'!G6</f>
        <v>1009.0370677143057</v>
      </c>
      <c r="G29" s="115"/>
      <c r="H29" s="115"/>
      <c r="I29" s="115"/>
      <c r="J29" s="115"/>
      <c r="L29" s="115">
        <f>G12*(G6/2+G7-TabelaProcuras!H57)+'Atual-N.Encomenda'!G10*TabelaProcuras!H59/'Atual-N.Encomenda'!G6*N26+'Atual-N.Encomenda'!G8*TabelaProcuras!H59/'Atual-N.Encomenda'!G6</f>
        <v>2992.3860299414655</v>
      </c>
      <c r="M29" s="115"/>
      <c r="N29" s="115"/>
      <c r="O29" s="115"/>
      <c r="P29" s="115"/>
    </row>
    <row r="30" spans="6:16">
      <c r="F30" s="116" t="s">
        <v>124</v>
      </c>
      <c r="G30" s="116"/>
      <c r="H30" s="116"/>
      <c r="I30" s="116"/>
      <c r="J30" s="116"/>
      <c r="L30" s="116" t="s">
        <v>124</v>
      </c>
      <c r="M30" s="116"/>
      <c r="N30" s="116"/>
      <c r="O30" s="116"/>
      <c r="P30" s="116"/>
    </row>
    <row r="31" spans="6:16">
      <c r="F31" s="115">
        <f>(TabelaProcuras!G59/H21)*H26</f>
        <v>5.3158299266922562</v>
      </c>
      <c r="G31" s="115"/>
      <c r="H31" s="115"/>
      <c r="I31" s="56" t="s">
        <v>129</v>
      </c>
      <c r="J31" s="56">
        <f>ROUNDDOWN(F31,0)</f>
        <v>5</v>
      </c>
      <c r="L31" s="115">
        <f>(TabelaProcuras!H59/'Atual-N.Encomenda'!N21)*'Atual-N.Encomenda'!N26</f>
        <v>56.433298419512241</v>
      </c>
      <c r="M31" s="115"/>
      <c r="N31" s="115"/>
      <c r="O31" s="56" t="s">
        <v>129</v>
      </c>
      <c r="P31" s="56">
        <f>ROUNDDOWN(L31,0)</f>
        <v>56</v>
      </c>
    </row>
    <row r="34" spans="6:16">
      <c r="F34" s="117" t="s">
        <v>91</v>
      </c>
      <c r="G34" s="117"/>
      <c r="H34" s="117"/>
      <c r="I34" s="117"/>
      <c r="J34" s="117"/>
      <c r="K34" s="117"/>
      <c r="L34" s="117"/>
      <c r="M34" s="117"/>
      <c r="N34" s="117"/>
      <c r="O34" s="117"/>
      <c r="P34" s="117"/>
    </row>
    <row r="35" spans="6:16">
      <c r="F35" s="78" t="s">
        <v>92</v>
      </c>
      <c r="G35" s="56">
        <f>F29*26+L29*24</f>
        <v>98052.228479167112</v>
      </c>
      <c r="H35" s="56" t="s">
        <v>32</v>
      </c>
      <c r="I35" s="56"/>
      <c r="J35" s="56"/>
      <c r="K35" s="55"/>
      <c r="L35" s="55"/>
      <c r="M35" s="55"/>
      <c r="N35" s="55"/>
      <c r="O35" s="55"/>
      <c r="P35" s="55"/>
    </row>
    <row r="36" spans="6:16" ht="43.2">
      <c r="F36" s="81" t="s">
        <v>124</v>
      </c>
      <c r="G36" s="79">
        <f>F31*26+L31*24</f>
        <v>1492.6107401622924</v>
      </c>
      <c r="H36" s="79" t="s">
        <v>97</v>
      </c>
      <c r="I36" s="79"/>
      <c r="J36" s="79"/>
      <c r="K36" s="79"/>
      <c r="L36" s="79"/>
      <c r="M36" s="79"/>
      <c r="N36" s="79"/>
      <c r="O36" s="79"/>
      <c r="P36" s="79"/>
    </row>
  </sheetData>
  <mergeCells count="29">
    <mergeCell ref="F34:P34"/>
    <mergeCell ref="F30:J30"/>
    <mergeCell ref="L30:P30"/>
    <mergeCell ref="F31:H31"/>
    <mergeCell ref="L31:N31"/>
    <mergeCell ref="A1:H2"/>
    <mergeCell ref="H6:I6"/>
    <mergeCell ref="F5:I5"/>
    <mergeCell ref="L13:P13"/>
    <mergeCell ref="L14:P14"/>
    <mergeCell ref="N6:O6"/>
    <mergeCell ref="N7:O7"/>
    <mergeCell ref="N8:O8"/>
    <mergeCell ref="N9:O9"/>
    <mergeCell ref="L5:P5"/>
    <mergeCell ref="N10:O10"/>
    <mergeCell ref="H10:I10"/>
    <mergeCell ref="H11:I11"/>
    <mergeCell ref="H12:I12"/>
    <mergeCell ref="H7:I7"/>
    <mergeCell ref="H8:I8"/>
    <mergeCell ref="F29:J29"/>
    <mergeCell ref="L28:P28"/>
    <mergeCell ref="L29:P29"/>
    <mergeCell ref="L18:O18"/>
    <mergeCell ref="H9:I9"/>
    <mergeCell ref="N11:O11"/>
    <mergeCell ref="L20:O20"/>
    <mergeCell ref="F28:J28"/>
  </mergeCells>
  <phoneticPr fontId="15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FCABF-42B6-4E9E-9DEA-AF3E2F913B42}">
  <sheetPr codeName="Folha3"/>
  <dimension ref="A1:Z64"/>
  <sheetViews>
    <sheetView topLeftCell="B40" zoomScale="70" zoomScaleNormal="70" workbookViewId="0">
      <selection activeCell="B2" sqref="B2"/>
    </sheetView>
  </sheetViews>
  <sheetFormatPr defaultRowHeight="14.4"/>
  <cols>
    <col min="1" max="1" width="22.5546875" customWidth="1"/>
    <col min="2" max="2" width="24.5546875" customWidth="1"/>
    <col min="3" max="3" width="26.5546875" customWidth="1"/>
    <col min="4" max="4" width="25.21875" customWidth="1"/>
    <col min="7" max="7" width="18.21875" customWidth="1"/>
    <col min="8" max="8" width="18.109375" customWidth="1"/>
    <col min="9" max="9" width="11.44140625" customWidth="1"/>
    <col min="10" max="11" width="10.88671875" customWidth="1"/>
    <col min="12" max="12" width="11.6640625" customWidth="1"/>
    <col min="13" max="13" width="11.5546875" customWidth="1"/>
    <col min="14" max="14" width="10.5546875" customWidth="1"/>
    <col min="15" max="15" width="6.88671875" customWidth="1"/>
    <col min="16" max="16" width="16.77734375" customWidth="1"/>
    <col min="17" max="17" width="18.109375" customWidth="1"/>
    <col min="18" max="18" width="15.5546875" customWidth="1"/>
    <col min="19" max="19" width="17.109375" customWidth="1"/>
  </cols>
  <sheetData>
    <row r="1" spans="1:23" ht="18">
      <c r="A1" t="s">
        <v>0</v>
      </c>
      <c r="B1" t="s">
        <v>1</v>
      </c>
      <c r="C1" t="s">
        <v>2</v>
      </c>
      <c r="D1" t="s">
        <v>3</v>
      </c>
      <c r="G1" s="127" t="s">
        <v>35</v>
      </c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</row>
    <row r="2" spans="1:23">
      <c r="A2">
        <v>1</v>
      </c>
      <c r="B2">
        <v>314</v>
      </c>
      <c r="C2">
        <v>374</v>
      </c>
      <c r="D2">
        <v>433</v>
      </c>
    </row>
    <row r="3" spans="1:23">
      <c r="A3">
        <v>2</v>
      </c>
      <c r="B3">
        <v>314</v>
      </c>
      <c r="C3">
        <v>372</v>
      </c>
      <c r="D3">
        <v>451</v>
      </c>
      <c r="G3" s="13" t="s">
        <v>21</v>
      </c>
      <c r="H3" s="13"/>
      <c r="I3" s="15"/>
    </row>
    <row r="4" spans="1:23">
      <c r="A4">
        <v>3</v>
      </c>
      <c r="B4">
        <v>318</v>
      </c>
      <c r="C4">
        <v>347</v>
      </c>
      <c r="D4">
        <v>430</v>
      </c>
      <c r="G4" s="14" t="s">
        <v>22</v>
      </c>
      <c r="H4">
        <f>SQRT((2*D53*'Atual-N.Encomenda'!G8)/'Atual-N.Encomenda'!G12)</f>
        <v>2107.6259052596929</v>
      </c>
      <c r="P4" s="134" t="s">
        <v>98</v>
      </c>
      <c r="Q4" s="134"/>
      <c r="R4" s="134" t="s">
        <v>94</v>
      </c>
      <c r="S4" s="134"/>
    </row>
    <row r="5" spans="1:23">
      <c r="A5">
        <v>4</v>
      </c>
      <c r="B5">
        <v>307</v>
      </c>
      <c r="C5">
        <v>338</v>
      </c>
      <c r="D5">
        <v>420</v>
      </c>
      <c r="G5" s="14" t="s">
        <v>4</v>
      </c>
      <c r="H5">
        <f>(('Atual-N.Encomenda'!G12*TabelaProcuras!H4)/('Atual-N.Encomenda'!G10*TabelaProcuras!D53))</f>
        <v>3.7457960743429504E-2</v>
      </c>
      <c r="P5" s="13" t="s">
        <v>21</v>
      </c>
      <c r="Q5" s="13"/>
      <c r="R5" s="13" t="s">
        <v>21</v>
      </c>
      <c r="S5" s="13"/>
    </row>
    <row r="6" spans="1:23">
      <c r="A6">
        <v>5</v>
      </c>
      <c r="B6">
        <v>306</v>
      </c>
      <c r="C6">
        <v>371</v>
      </c>
      <c r="D6">
        <v>379</v>
      </c>
      <c r="G6" s="14" t="s">
        <v>23</v>
      </c>
      <c r="H6">
        <v>59</v>
      </c>
      <c r="P6" s="14" t="s">
        <v>22</v>
      </c>
      <c r="Q6">
        <f>SQRT(2*(G59*'Atual-N.Encomenda'!$G$8)/'Atual-N.Encomenda'!$G$12)</f>
        <v>1926.6655583969532</v>
      </c>
      <c r="R6" s="14" t="s">
        <v>22</v>
      </c>
      <c r="S6">
        <f>SQRT(2*(H59*'Atual-N.Encomenda'!$G$8)/'Atual-N.Encomenda'!$G$12)</f>
        <v>2287.5688062828322</v>
      </c>
    </row>
    <row r="7" spans="1:23">
      <c r="A7">
        <v>6</v>
      </c>
      <c r="B7">
        <v>292</v>
      </c>
      <c r="C7">
        <v>358</v>
      </c>
      <c r="D7">
        <v>418</v>
      </c>
      <c r="G7" s="14" t="s">
        <v>24</v>
      </c>
      <c r="H7">
        <f>3*H6/100</f>
        <v>1.77</v>
      </c>
      <c r="P7" s="14" t="s">
        <v>4</v>
      </c>
      <c r="Q7">
        <f>('Atual-N.Encomenda'!$G$12*Q6)/(G59*'Atual-N.Encomenda'!$G$10)</f>
        <v>4.09761663496696E-2</v>
      </c>
      <c r="R7" s="14" t="s">
        <v>4</v>
      </c>
      <c r="S7">
        <f>('Atual-N.Encomenda'!$G$12*S6)/(H59*'Atual-N.Encomenda'!$G$10)</f>
        <v>3.4511472705967508E-2</v>
      </c>
    </row>
    <row r="8" spans="1:23">
      <c r="A8">
        <v>7</v>
      </c>
      <c r="B8">
        <v>317</v>
      </c>
      <c r="C8">
        <v>372</v>
      </c>
      <c r="D8">
        <v>441</v>
      </c>
      <c r="G8" s="14" t="s">
        <v>5</v>
      </c>
      <c r="H8">
        <f>0.013353*D56</f>
        <v>5.8047767181412322</v>
      </c>
      <c r="P8" s="14" t="s">
        <v>23</v>
      </c>
      <c r="Q8">
        <v>58</v>
      </c>
      <c r="R8" s="14" t="s">
        <v>23</v>
      </c>
      <c r="S8">
        <v>61</v>
      </c>
    </row>
    <row r="9" spans="1:23">
      <c r="A9">
        <v>8</v>
      </c>
      <c r="B9">
        <v>303</v>
      </c>
      <c r="C9">
        <v>380</v>
      </c>
      <c r="D9">
        <v>414</v>
      </c>
      <c r="G9" s="14" t="s">
        <v>13</v>
      </c>
      <c r="H9">
        <f>D55+H7*D56</f>
        <v>1729.8283718048365</v>
      </c>
      <c r="J9" s="1"/>
      <c r="K9" s="1"/>
      <c r="L9" s="1"/>
      <c r="P9" s="14" t="s">
        <v>24</v>
      </c>
      <c r="Q9">
        <f>3*Q8/100</f>
        <v>1.74</v>
      </c>
      <c r="R9" s="14" t="s">
        <v>24</v>
      </c>
      <c r="S9">
        <f>3*S8/100</f>
        <v>1.83</v>
      </c>
    </row>
    <row r="10" spans="1:23">
      <c r="A10">
        <v>9</v>
      </c>
      <c r="B10">
        <v>320</v>
      </c>
      <c r="C10">
        <v>374</v>
      </c>
      <c r="D10">
        <v>473</v>
      </c>
      <c r="G10" s="13" t="s">
        <v>25</v>
      </c>
      <c r="H10" s="13"/>
      <c r="I10" s="15"/>
      <c r="P10" s="14" t="s">
        <v>5</v>
      </c>
      <c r="Q10">
        <f>0.014502*G58</f>
        <v>5.0754592668000003</v>
      </c>
      <c r="R10" s="14" t="s">
        <v>5</v>
      </c>
      <c r="S10">
        <f>0.011276*H58</f>
        <v>5.5443516924000003</v>
      </c>
    </row>
    <row r="11" spans="1:23">
      <c r="A11">
        <v>10</v>
      </c>
      <c r="B11">
        <v>296</v>
      </c>
      <c r="C11">
        <v>343</v>
      </c>
      <c r="D11">
        <v>458</v>
      </c>
      <c r="G11" s="14" t="s">
        <v>12</v>
      </c>
      <c r="H11">
        <f>SQRT((2*D53*('Atual-N.Encomenda'!$G$10*TabelaProcuras!H8+'Atual-N.Encomenda'!$G$8))/'Atual-N.Encomenda'!$G$12)</f>
        <v>2257.2804738887758</v>
      </c>
      <c r="J11" s="1"/>
      <c r="K11" s="1"/>
      <c r="P11" s="14" t="s">
        <v>13</v>
      </c>
      <c r="Q11">
        <f>G57+(Q9*G58)</f>
        <v>1411.514216</v>
      </c>
      <c r="R11" s="14" t="s">
        <v>13</v>
      </c>
      <c r="S11">
        <f>$H$57+(S9*$H$58)</f>
        <v>2031.1696670000001</v>
      </c>
    </row>
    <row r="12" spans="1:23">
      <c r="A12">
        <v>11</v>
      </c>
      <c r="B12">
        <v>317</v>
      </c>
      <c r="C12">
        <v>366</v>
      </c>
      <c r="D12">
        <v>441</v>
      </c>
      <c r="G12" s="14" t="s">
        <v>4</v>
      </c>
      <c r="H12">
        <f>(('Atual-N.Encomenda'!G12*H11)/('Atual-N.Encomenda'!G10*TabelaProcuras!D53))</f>
        <v>4.01177092988034E-2</v>
      </c>
      <c r="P12" s="13" t="s">
        <v>25</v>
      </c>
      <c r="Q12" s="13"/>
      <c r="R12" s="13" t="s">
        <v>25</v>
      </c>
      <c r="S12" s="13"/>
    </row>
    <row r="13" spans="1:23">
      <c r="A13">
        <v>12</v>
      </c>
      <c r="B13">
        <v>319</v>
      </c>
      <c r="C13">
        <v>367</v>
      </c>
      <c r="D13">
        <v>407</v>
      </c>
      <c r="G13" s="14" t="s">
        <v>23</v>
      </c>
      <c r="H13">
        <v>58</v>
      </c>
      <c r="J13" s="1"/>
      <c r="K13" s="1"/>
      <c r="P13" s="14" t="s">
        <v>12</v>
      </c>
      <c r="Q13">
        <f>SQRT((2*G59*('Atual-N.Encomenda'!$G$10*Q10+'Atual-N.Encomenda'!$G$8))/'Atual-N.Encomenda'!$G$12)</f>
        <v>2046.7847943294801</v>
      </c>
      <c r="R13" s="14" t="s">
        <v>12</v>
      </c>
      <c r="S13">
        <f>SQRT((2*H59*('Atual-N.Encomenda'!$G$10*S10+'Atual-N.Encomenda'!$G$8))/'Atual-N.Encomenda'!$G$12)</f>
        <v>2442.9445314950794</v>
      </c>
    </row>
    <row r="14" spans="1:23">
      <c r="A14">
        <v>13</v>
      </c>
      <c r="B14">
        <v>332</v>
      </c>
      <c r="C14">
        <v>383</v>
      </c>
      <c r="D14">
        <v>426</v>
      </c>
      <c r="G14" s="14" t="s">
        <v>24</v>
      </c>
      <c r="H14">
        <f>3*H13/100</f>
        <v>1.74</v>
      </c>
      <c r="P14" s="14" t="s">
        <v>4</v>
      </c>
      <c r="Q14">
        <f>('Atual-N.Encomenda'!$G$12*Q13)/(G59*'Atual-N.Encomenda'!$G$10)</f>
        <v>4.3530852487030001E-2</v>
      </c>
      <c r="R14" s="14" t="s">
        <v>4</v>
      </c>
      <c r="S14">
        <f>('Atual-N.Encomenda'!$G$12*S13)/(H59*'Atual-N.Encomenda'!$G$10)</f>
        <v>3.6855553061104773E-2</v>
      </c>
    </row>
    <row r="15" spans="1:23">
      <c r="A15">
        <v>14</v>
      </c>
      <c r="B15">
        <v>303</v>
      </c>
      <c r="C15">
        <v>349</v>
      </c>
      <c r="D15">
        <v>411</v>
      </c>
      <c r="G15" s="14" t="s">
        <v>5</v>
      </c>
      <c r="H15">
        <f>0.014502*D56</f>
        <v>6.3042666042450497</v>
      </c>
      <c r="P15" s="14" t="s">
        <v>23</v>
      </c>
      <c r="Q15">
        <v>57</v>
      </c>
      <c r="R15" s="14" t="s">
        <v>23</v>
      </c>
      <c r="S15">
        <v>60</v>
      </c>
    </row>
    <row r="16" spans="1:23">
      <c r="A16">
        <v>15</v>
      </c>
      <c r="B16">
        <v>281</v>
      </c>
      <c r="C16">
        <v>327</v>
      </c>
      <c r="D16">
        <v>400</v>
      </c>
      <c r="G16" s="14" t="s">
        <v>13</v>
      </c>
      <c r="H16">
        <f>D55+H14*D56</f>
        <v>1716.7868604183136</v>
      </c>
      <c r="P16" s="14" t="s">
        <v>24</v>
      </c>
      <c r="Q16">
        <f>3*Q15/100</f>
        <v>1.71</v>
      </c>
      <c r="R16" s="14" t="s">
        <v>24</v>
      </c>
      <c r="S16">
        <f>3*S15/100</f>
        <v>1.8</v>
      </c>
    </row>
    <row r="17" spans="1:26">
      <c r="A17">
        <v>16</v>
      </c>
      <c r="B17">
        <v>312</v>
      </c>
      <c r="C17">
        <v>375</v>
      </c>
      <c r="D17">
        <v>454</v>
      </c>
      <c r="G17" s="13" t="s">
        <v>26</v>
      </c>
      <c r="H17" s="13"/>
      <c r="I17" s="15"/>
      <c r="P17" s="14" t="s">
        <v>5</v>
      </c>
      <c r="Q17">
        <f>0.01573*G58</f>
        <v>5.5052388820000004</v>
      </c>
      <c r="R17" s="14" t="s">
        <v>5</v>
      </c>
      <c r="S17">
        <f>0.012279*H58</f>
        <v>6.0375216771</v>
      </c>
    </row>
    <row r="18" spans="1:26">
      <c r="A18">
        <v>17</v>
      </c>
      <c r="B18">
        <v>306</v>
      </c>
      <c r="C18">
        <v>357</v>
      </c>
      <c r="D18">
        <v>443</v>
      </c>
      <c r="G18" s="14" t="s">
        <v>12</v>
      </c>
      <c r="H18">
        <f>SQRT((2*D53*('Atual-N.Encomenda'!G10*H15+'Atual-N.Encomenda'!G8))/'Atual-N.Encomenda'!G12)</f>
        <v>2269.6969330731367</v>
      </c>
      <c r="P18" s="14" t="s">
        <v>13</v>
      </c>
      <c r="Q18">
        <f>G57+(Q16*G58)</f>
        <v>1401.0147139999999</v>
      </c>
      <c r="R18" s="14" t="s">
        <v>13</v>
      </c>
      <c r="S18">
        <f>$H$57+(S16*$H$58)</f>
        <v>2016.4188199999999</v>
      </c>
    </row>
    <row r="19" spans="1:26">
      <c r="A19">
        <v>18</v>
      </c>
      <c r="B19">
        <v>317</v>
      </c>
      <c r="C19">
        <v>352</v>
      </c>
      <c r="D19">
        <v>421</v>
      </c>
      <c r="G19" s="14" t="s">
        <v>4</v>
      </c>
      <c r="H19">
        <f>(('Atual-N.Encomenda'!G12*H18)/('Atual-N.Encomenda'!G10*TabelaProcuras!D53))</f>
        <v>4.033838187619937E-2</v>
      </c>
      <c r="P19" s="13" t="s">
        <v>26</v>
      </c>
      <c r="Q19" s="13"/>
      <c r="R19" s="13" t="s">
        <v>26</v>
      </c>
      <c r="S19" s="13"/>
    </row>
    <row r="20" spans="1:26">
      <c r="A20">
        <v>19</v>
      </c>
      <c r="B20">
        <v>307</v>
      </c>
      <c r="C20">
        <v>363</v>
      </c>
      <c r="D20">
        <v>434</v>
      </c>
      <c r="G20" s="14" t="s">
        <v>23</v>
      </c>
      <c r="H20">
        <v>58</v>
      </c>
      <c r="P20" s="14" t="s">
        <v>12</v>
      </c>
      <c r="Q20">
        <f>SQRT((2*G59*('Atual-N.Encomenda'!$G$10*Q17+'Atual-N.Encomenda'!$G$8))/'Atual-N.Encomenda'!$G$12)</f>
        <v>2056.6340852558915</v>
      </c>
      <c r="R20" s="14" t="s">
        <v>12</v>
      </c>
      <c r="S20">
        <f>SQRT((2*H59*('Atual-N.Encomenda'!$G$10*S17+'Atual-N.Encomenda'!$G$8))/'Atual-N.Encomenda'!$G$12)</f>
        <v>2456.2892415758074</v>
      </c>
    </row>
    <row r="21" spans="1:26">
      <c r="A21">
        <v>20</v>
      </c>
      <c r="B21">
        <v>291</v>
      </c>
      <c r="C21">
        <v>359</v>
      </c>
      <c r="D21">
        <v>460</v>
      </c>
      <c r="G21" s="14" t="s">
        <v>24</v>
      </c>
      <c r="H21" s="129" t="s">
        <v>31</v>
      </c>
      <c r="P21" s="14" t="s">
        <v>4</v>
      </c>
      <c r="Q21">
        <f>('Atual-N.Encomenda'!$G$12*Q20)/(G59*'Atual-N.Encomenda'!$G$10)</f>
        <v>4.3740326405151381E-2</v>
      </c>
      <c r="R21" s="14" t="s">
        <v>4</v>
      </c>
      <c r="S21">
        <f>('Atual-N.Encomenda'!$G$12*S20)/(H59*'Atual-N.Encomenda'!$G$10)</f>
        <v>3.7056878414228667E-2</v>
      </c>
    </row>
    <row r="22" spans="1:26">
      <c r="A22">
        <v>21</v>
      </c>
      <c r="B22">
        <v>331</v>
      </c>
      <c r="C22">
        <v>380</v>
      </c>
      <c r="D22">
        <v>406</v>
      </c>
      <c r="G22" s="14" t="s">
        <v>5</v>
      </c>
      <c r="H22" s="129"/>
      <c r="P22" s="14" t="s">
        <v>23</v>
      </c>
      <c r="Q22">
        <v>57</v>
      </c>
      <c r="R22" s="14" t="s">
        <v>23</v>
      </c>
      <c r="S22">
        <v>59</v>
      </c>
    </row>
    <row r="23" spans="1:26">
      <c r="A23">
        <v>22</v>
      </c>
      <c r="B23">
        <v>307</v>
      </c>
      <c r="C23">
        <v>338</v>
      </c>
      <c r="D23">
        <v>403</v>
      </c>
      <c r="G23" s="14" t="s">
        <v>13</v>
      </c>
      <c r="H23" s="129"/>
      <c r="P23" s="14" t="s">
        <v>24</v>
      </c>
      <c r="Q23" s="129" t="s">
        <v>31</v>
      </c>
      <c r="R23" s="14" t="s">
        <v>24</v>
      </c>
      <c r="S23">
        <f>3*S22/100</f>
        <v>1.77</v>
      </c>
    </row>
    <row r="24" spans="1:26">
      <c r="A24">
        <v>23</v>
      </c>
      <c r="B24">
        <v>436</v>
      </c>
      <c r="C24">
        <v>507</v>
      </c>
      <c r="D24">
        <v>610</v>
      </c>
      <c r="P24" s="14" t="s">
        <v>5</v>
      </c>
      <c r="Q24" s="129"/>
      <c r="R24" s="14" t="s">
        <v>5</v>
      </c>
      <c r="S24">
        <f>0.013353*$H$58</f>
        <v>6.5656019997000001</v>
      </c>
    </row>
    <row r="25" spans="1:26">
      <c r="A25">
        <v>24</v>
      </c>
      <c r="B25">
        <v>442</v>
      </c>
      <c r="C25">
        <v>494</v>
      </c>
      <c r="D25">
        <v>606</v>
      </c>
      <c r="P25" s="14" t="s">
        <v>13</v>
      </c>
      <c r="Q25" s="129"/>
      <c r="R25" s="14" t="s">
        <v>13</v>
      </c>
      <c r="S25">
        <f>$H$57+(S23*$H$58)</f>
        <v>2001.6679730000001</v>
      </c>
    </row>
    <row r="26" spans="1:26">
      <c r="A26">
        <v>25</v>
      </c>
      <c r="B26">
        <v>449</v>
      </c>
      <c r="C26">
        <v>509</v>
      </c>
      <c r="D26">
        <v>605</v>
      </c>
      <c r="G26" s="116" t="s">
        <v>34</v>
      </c>
      <c r="H26" s="116"/>
      <c r="J26" s="20" t="s">
        <v>36</v>
      </c>
      <c r="K26" s="21"/>
      <c r="L26" s="21"/>
      <c r="P26" s="13" t="s">
        <v>99</v>
      </c>
      <c r="Q26" s="13"/>
      <c r="R26" s="13" t="s">
        <v>99</v>
      </c>
      <c r="S26" s="13"/>
    </row>
    <row r="27" spans="1:26">
      <c r="A27">
        <v>26</v>
      </c>
      <c r="B27">
        <v>436</v>
      </c>
      <c r="C27">
        <v>525</v>
      </c>
      <c r="D27">
        <v>598</v>
      </c>
      <c r="G27" s="128">
        <f>'Atual-N.Encomenda'!G12*(TabelaProcuras!H18/2+TabelaProcuras!H16-TabelaProcuras!D55)+'Atual-N.Encomenda'!G10*TabelaProcuras!D53/TabelaProcuras!H18*TabelaProcuras!H15+'Atual-N.Encomenda'!G8*TabelaProcuras!D53/TabelaProcuras!H18</f>
        <v>1044.0060847545503</v>
      </c>
      <c r="H27" s="128"/>
      <c r="J27" s="19" t="s">
        <v>12</v>
      </c>
      <c r="K27">
        <f>H18</f>
        <v>2269.6969330731367</v>
      </c>
      <c r="L27" t="s">
        <v>37</v>
      </c>
      <c r="P27" s="14" t="s">
        <v>12</v>
      </c>
      <c r="Q27" s="32" t="s">
        <v>100</v>
      </c>
      <c r="R27" s="14" t="s">
        <v>12</v>
      </c>
      <c r="S27">
        <f>SQRT((2*H59*('Atual-N.Encomenda'!$G$10*S24+'Atual-N.Encomenda'!$G$8))/'Atual-N.Encomenda'!$G$12)</f>
        <v>2470.4986758169352</v>
      </c>
    </row>
    <row r="28" spans="1:26">
      <c r="A28">
        <v>27</v>
      </c>
      <c r="B28">
        <v>467</v>
      </c>
      <c r="C28">
        <v>522</v>
      </c>
      <c r="D28">
        <v>604</v>
      </c>
      <c r="G28" s="128"/>
      <c r="H28" s="128"/>
      <c r="J28" s="19" t="s">
        <v>13</v>
      </c>
      <c r="K28">
        <f>H16</f>
        <v>1716.7868604183136</v>
      </c>
      <c r="L28" t="s">
        <v>37</v>
      </c>
      <c r="P28" s="14" t="s">
        <v>4</v>
      </c>
      <c r="Q28" s="32" t="s">
        <v>100</v>
      </c>
      <c r="R28" s="14" t="s">
        <v>4</v>
      </c>
      <c r="S28">
        <f>('Atual-N.Encomenda'!$G$12*S27)/(H59*'Atual-N.Encomenda'!$G$10)</f>
        <v>3.7271249453313074E-2</v>
      </c>
    </row>
    <row r="29" spans="1:26">
      <c r="A29">
        <v>28</v>
      </c>
      <c r="B29">
        <v>440</v>
      </c>
      <c r="C29">
        <v>530</v>
      </c>
      <c r="D29">
        <v>589</v>
      </c>
      <c r="P29" s="14" t="s">
        <v>23</v>
      </c>
      <c r="Q29" s="32" t="s">
        <v>100</v>
      </c>
      <c r="R29" s="14" t="s">
        <v>23</v>
      </c>
      <c r="S29">
        <v>59</v>
      </c>
    </row>
    <row r="30" spans="1:26">
      <c r="A30">
        <v>29</v>
      </c>
      <c r="B30">
        <v>455</v>
      </c>
      <c r="C30">
        <v>491</v>
      </c>
      <c r="D30">
        <v>636</v>
      </c>
      <c r="P30" s="14" t="s">
        <v>24</v>
      </c>
      <c r="Q30" s="32" t="s">
        <v>100</v>
      </c>
      <c r="R30" s="14" t="s">
        <v>24</v>
      </c>
      <c r="S30" s="129" t="s">
        <v>31</v>
      </c>
    </row>
    <row r="31" spans="1:26">
      <c r="A31">
        <v>30</v>
      </c>
      <c r="B31">
        <v>457</v>
      </c>
      <c r="C31">
        <v>538</v>
      </c>
      <c r="D31">
        <v>592</v>
      </c>
      <c r="P31" s="14" t="s">
        <v>5</v>
      </c>
      <c r="Q31" s="32" t="s">
        <v>100</v>
      </c>
      <c r="R31" s="14" t="s">
        <v>5</v>
      </c>
      <c r="S31" s="129"/>
    </row>
    <row r="32" spans="1:26">
      <c r="A32">
        <v>31</v>
      </c>
      <c r="B32">
        <v>435</v>
      </c>
      <c r="C32">
        <v>473</v>
      </c>
      <c r="D32">
        <v>630</v>
      </c>
      <c r="P32" s="14" t="s">
        <v>13</v>
      </c>
      <c r="Q32" s="32" t="s">
        <v>100</v>
      </c>
      <c r="R32" s="14" t="s">
        <v>13</v>
      </c>
      <c r="S32" s="129"/>
      <c r="T32" s="57"/>
      <c r="U32" s="57"/>
      <c r="V32" s="57"/>
      <c r="W32" s="57"/>
      <c r="X32" s="57"/>
      <c r="Y32" s="57"/>
      <c r="Z32" s="57"/>
    </row>
    <row r="33" spans="1:26">
      <c r="A33">
        <v>32</v>
      </c>
      <c r="B33">
        <v>445</v>
      </c>
      <c r="C33">
        <v>530</v>
      </c>
      <c r="D33">
        <v>597</v>
      </c>
      <c r="T33" s="52"/>
      <c r="U33" s="58"/>
      <c r="V33" s="58"/>
      <c r="W33" s="58"/>
      <c r="X33" s="58"/>
      <c r="Y33" s="58"/>
      <c r="Z33" s="58"/>
    </row>
    <row r="34" spans="1:26">
      <c r="A34">
        <v>33</v>
      </c>
      <c r="B34">
        <v>439</v>
      </c>
      <c r="C34">
        <v>547</v>
      </c>
      <c r="D34">
        <v>614</v>
      </c>
      <c r="P34" s="116" t="s">
        <v>119</v>
      </c>
      <c r="Q34" s="116"/>
      <c r="R34" s="116" t="s">
        <v>119</v>
      </c>
      <c r="S34" s="116"/>
      <c r="T34" s="58"/>
      <c r="U34" s="58"/>
      <c r="V34" s="58"/>
      <c r="W34" s="58"/>
      <c r="X34" s="58"/>
      <c r="Y34" s="58"/>
      <c r="Z34" s="58"/>
    </row>
    <row r="35" spans="1:26">
      <c r="A35">
        <v>34</v>
      </c>
      <c r="B35">
        <v>478</v>
      </c>
      <c r="C35">
        <v>493</v>
      </c>
      <c r="D35">
        <v>604</v>
      </c>
      <c r="P35" s="130">
        <f>1-Q21</f>
        <v>0.95625967359484865</v>
      </c>
      <c r="Q35" s="131"/>
      <c r="R35" s="132">
        <f xml:space="preserve"> 1 -S28</f>
        <v>0.96272875054668694</v>
      </c>
      <c r="S35" s="133"/>
    </row>
    <row r="36" spans="1:26">
      <c r="A36">
        <v>35</v>
      </c>
      <c r="B36">
        <v>433</v>
      </c>
      <c r="C36">
        <v>542</v>
      </c>
      <c r="D36">
        <v>610</v>
      </c>
      <c r="P36" s="116" t="s">
        <v>86</v>
      </c>
      <c r="Q36" s="116"/>
      <c r="R36" s="116" t="s">
        <v>86</v>
      </c>
      <c r="S36" s="116"/>
    </row>
    <row r="37" spans="1:26">
      <c r="A37">
        <v>36</v>
      </c>
      <c r="B37">
        <v>444</v>
      </c>
      <c r="C37">
        <v>508</v>
      </c>
      <c r="D37">
        <v>605</v>
      </c>
      <c r="P37" s="115">
        <f>'Atual-N.Encomenda'!G12*((Q20/2)+Q18-G57)+(('Atual-N.Encomenda'!G10*G59/Q20)*Q17)+'Atual-N.Encomenda'!G8*(G59/Q20)</f>
        <v>916.0114662432826</v>
      </c>
      <c r="Q37" s="124"/>
      <c r="R37" s="123">
        <f>'Atual-N.Encomenda'!G12*((S27/2)+S25-H57)+(('Atual-N.Encomenda'!G10*H59/S27)*S24)+'Atual-N.Encomenda'!G8*(H59/S27)</f>
        <v>1152.5755338418428</v>
      </c>
      <c r="S37" s="115"/>
    </row>
    <row r="38" spans="1:26">
      <c r="A38">
        <v>37</v>
      </c>
      <c r="B38">
        <v>410</v>
      </c>
      <c r="C38">
        <v>555</v>
      </c>
      <c r="D38">
        <v>614</v>
      </c>
      <c r="P38" s="116" t="s">
        <v>122</v>
      </c>
      <c r="Q38" s="116"/>
      <c r="R38" s="116" t="s">
        <v>123</v>
      </c>
      <c r="S38" s="116"/>
    </row>
    <row r="39" spans="1:26">
      <c r="A39">
        <v>38</v>
      </c>
      <c r="B39">
        <v>478</v>
      </c>
      <c r="C39">
        <v>531</v>
      </c>
      <c r="D39">
        <v>588</v>
      </c>
      <c r="P39" s="56">
        <f>((G59/Q20)*Q17)</f>
        <v>1.142693211689813</v>
      </c>
      <c r="Q39" s="95" t="s">
        <v>48</v>
      </c>
      <c r="R39" s="96">
        <f>((H59/S27)*S24)</f>
        <v>1.5993226916619412</v>
      </c>
      <c r="S39" s="56" t="s">
        <v>47</v>
      </c>
    </row>
    <row r="40" spans="1:26">
      <c r="A40">
        <v>39</v>
      </c>
      <c r="B40">
        <v>442</v>
      </c>
      <c r="C40">
        <v>513</v>
      </c>
      <c r="D40">
        <v>590</v>
      </c>
    </row>
    <row r="41" spans="1:26">
      <c r="A41">
        <v>40</v>
      </c>
      <c r="B41">
        <v>429</v>
      </c>
      <c r="C41">
        <v>517</v>
      </c>
      <c r="D41">
        <v>604</v>
      </c>
    </row>
    <row r="42" spans="1:26">
      <c r="A42">
        <v>41</v>
      </c>
      <c r="B42">
        <v>426</v>
      </c>
      <c r="C42">
        <v>519</v>
      </c>
      <c r="D42">
        <v>585</v>
      </c>
      <c r="P42" s="53" t="s">
        <v>91</v>
      </c>
      <c r="Q42" s="53"/>
      <c r="R42" s="53"/>
      <c r="S42" s="53"/>
    </row>
    <row r="43" spans="1:26">
      <c r="A43">
        <v>42</v>
      </c>
      <c r="B43">
        <v>424</v>
      </c>
      <c r="C43">
        <v>511</v>
      </c>
      <c r="D43">
        <v>591</v>
      </c>
      <c r="P43" s="14" t="s">
        <v>92</v>
      </c>
      <c r="Q43" s="56">
        <f>P37*26+R37*24</f>
        <v>51478.11093452957</v>
      </c>
      <c r="R43" s="56" t="s">
        <v>32</v>
      </c>
      <c r="S43" s="56"/>
    </row>
    <row r="44" spans="1:26">
      <c r="A44">
        <v>43</v>
      </c>
      <c r="B44">
        <v>408</v>
      </c>
      <c r="C44">
        <v>545</v>
      </c>
      <c r="D44">
        <v>602</v>
      </c>
      <c r="P44" s="121" t="s">
        <v>122</v>
      </c>
      <c r="Q44" s="79">
        <f>P39*26+R39*24</f>
        <v>68.093768103821731</v>
      </c>
      <c r="R44" s="79" t="s">
        <v>101</v>
      </c>
      <c r="S44" s="79"/>
    </row>
    <row r="45" spans="1:26">
      <c r="A45">
        <v>44</v>
      </c>
      <c r="B45">
        <v>462</v>
      </c>
      <c r="C45">
        <v>546</v>
      </c>
      <c r="D45">
        <v>591</v>
      </c>
      <c r="P45" s="122"/>
      <c r="Q45" s="94"/>
      <c r="R45" s="94"/>
      <c r="S45" s="94"/>
    </row>
    <row r="46" spans="1:26">
      <c r="A46">
        <v>45</v>
      </c>
      <c r="B46">
        <v>430</v>
      </c>
      <c r="C46">
        <v>543</v>
      </c>
      <c r="D46">
        <v>596</v>
      </c>
    </row>
    <row r="47" spans="1:26">
      <c r="A47">
        <v>46</v>
      </c>
      <c r="B47">
        <v>424</v>
      </c>
      <c r="C47">
        <v>496</v>
      </c>
      <c r="D47">
        <v>582</v>
      </c>
    </row>
    <row r="48" spans="1:26">
      <c r="A48">
        <v>47</v>
      </c>
      <c r="B48">
        <v>293</v>
      </c>
      <c r="C48">
        <v>375</v>
      </c>
      <c r="D48">
        <v>391</v>
      </c>
    </row>
    <row r="49" spans="1:19">
      <c r="A49">
        <v>48</v>
      </c>
      <c r="B49">
        <v>308</v>
      </c>
      <c r="C49">
        <v>355</v>
      </c>
      <c r="D49">
        <v>428</v>
      </c>
      <c r="O49" s="54" t="s">
        <v>88</v>
      </c>
      <c r="P49" s="54"/>
      <c r="Q49" s="54"/>
      <c r="R49" s="54"/>
      <c r="S49" s="54"/>
    </row>
    <row r="50" spans="1:19">
      <c r="A50">
        <v>49</v>
      </c>
      <c r="B50">
        <v>288</v>
      </c>
      <c r="C50">
        <v>371</v>
      </c>
      <c r="D50">
        <v>409</v>
      </c>
      <c r="O50" s="20"/>
      <c r="P50" s="53" t="s">
        <v>51</v>
      </c>
      <c r="Q50" s="53"/>
      <c r="R50" s="53" t="s">
        <v>52</v>
      </c>
      <c r="S50" s="53"/>
    </row>
    <row r="51" spans="1:19">
      <c r="A51">
        <v>50</v>
      </c>
      <c r="B51">
        <v>334</v>
      </c>
      <c r="C51">
        <v>375</v>
      </c>
      <c r="D51">
        <v>448</v>
      </c>
      <c r="O51" s="20">
        <v>2020</v>
      </c>
      <c r="P51" s="126" t="s">
        <v>71</v>
      </c>
      <c r="Q51" s="126"/>
      <c r="R51" s="126" t="s">
        <v>72</v>
      </c>
      <c r="S51" s="126"/>
    </row>
    <row r="52" spans="1:19">
      <c r="A52" s="5"/>
      <c r="B52" s="5"/>
      <c r="C52" s="5"/>
      <c r="D52" s="5"/>
      <c r="O52" s="20">
        <v>2019</v>
      </c>
      <c r="P52" s="126" t="s">
        <v>73</v>
      </c>
      <c r="Q52" s="126"/>
      <c r="R52" s="126" t="s">
        <v>74</v>
      </c>
      <c r="S52" s="126"/>
    </row>
    <row r="53" spans="1:19">
      <c r="A53" s="27" t="s">
        <v>95</v>
      </c>
      <c r="B53" s="4">
        <f>AVERAGE(Table001__Page_1[2018])</f>
        <v>372.44</v>
      </c>
      <c r="C53" s="10">
        <f>AVERAGE(Table001__Page_1[2019])</f>
        <v>438.12</v>
      </c>
      <c r="D53" s="6">
        <f>AVERAGE(Table001__Page_1[2020])</f>
        <v>510.84</v>
      </c>
      <c r="O53" s="20">
        <v>2018</v>
      </c>
      <c r="P53" s="126" t="s">
        <v>71</v>
      </c>
      <c r="Q53" s="126"/>
      <c r="R53" s="126" t="s">
        <v>72</v>
      </c>
      <c r="S53" s="126"/>
    </row>
    <row r="54" spans="1:19">
      <c r="A54" s="28" t="s">
        <v>96</v>
      </c>
      <c r="B54" s="9">
        <f>_xlfn.STDEV.P(Table001__Page_1[2018])</f>
        <v>67.895849652243101</v>
      </c>
      <c r="C54" s="9">
        <f>_xlfn.STDEV.P(Table001__Page_1[2019])</f>
        <v>80.891196059892692</v>
      </c>
      <c r="D54" s="9">
        <f>_xlfn.STDEV.P(Table001__Page_1[2020])</f>
        <v>89.345253931028708</v>
      </c>
    </row>
    <row r="55" spans="1:19">
      <c r="A55" s="28" t="s">
        <v>8</v>
      </c>
      <c r="B55" s="4">
        <f>B53*'Atual-N.Encomenda'!C10</f>
        <v>700.18719999999996</v>
      </c>
      <c r="C55" s="4">
        <f>C53*'Atual-N.Encomenda'!C10</f>
        <v>823.66559999999993</v>
      </c>
      <c r="D55" s="4">
        <f>D53*'Atual-N.Encomenda'!C10</f>
        <v>960.37919999999986</v>
      </c>
      <c r="F55" s="125">
        <v>2020</v>
      </c>
      <c r="G55" s="125"/>
      <c r="H55" s="125"/>
      <c r="M55" s="61"/>
    </row>
    <row r="56" spans="1:19">
      <c r="A56" s="28" t="s">
        <v>9</v>
      </c>
      <c r="B56" s="9">
        <f>SQRT(('Atual-N.Encomenda'!C10*(TabelaProcuras!B54)^2)+((TabelaProcuras!B53)^2*('Atual-N.Encomenda'!C11)^2))</f>
        <v>318.02654024258203</v>
      </c>
      <c r="C56" s="9">
        <f>SQRT(('Atual-N.Encomenda'!C10*(TabelaProcuras!C54)^2)+((TabelaProcuras!C53)^2*('Atual-N.Encomenda'!C11)^2))</f>
        <v>374.52323629916475</v>
      </c>
      <c r="D56" s="9">
        <f>SQRT(('Atual-N.Encomenda'!C10*(TabelaProcuras!D54)^2)+((TabelaProcuras!D53)^2*('Atual-N.Encomenda'!C11)^2))</f>
        <v>434.71704621742174</v>
      </c>
      <c r="F56" s="21"/>
      <c r="G56" s="20" t="s">
        <v>51</v>
      </c>
      <c r="H56" s="20" t="s">
        <v>52</v>
      </c>
    </row>
    <row r="57" spans="1:19">
      <c r="A57" s="1"/>
      <c r="C57" s="2"/>
      <c r="D57" s="2"/>
      <c r="E57" s="2"/>
      <c r="F57" s="20" t="s">
        <v>8</v>
      </c>
      <c r="G57">
        <v>802.54309999999998</v>
      </c>
      <c r="H57">
        <v>1131.3679999999999</v>
      </c>
    </row>
    <row r="58" spans="1:19">
      <c r="A58" s="1"/>
      <c r="C58" s="2"/>
      <c r="D58" s="2"/>
      <c r="E58" s="3"/>
      <c r="F58" s="20" t="s">
        <v>9</v>
      </c>
      <c r="G58">
        <v>349.98340000000002</v>
      </c>
      <c r="H58">
        <v>491.69490000000002</v>
      </c>
    </row>
    <row r="59" spans="1:19">
      <c r="F59" s="20" t="s">
        <v>53</v>
      </c>
      <c r="G59">
        <v>426.88461999999998</v>
      </c>
      <c r="H59">
        <v>601.79166999999995</v>
      </c>
    </row>
    <row r="60" spans="1:19">
      <c r="F60" s="20" t="s">
        <v>54</v>
      </c>
      <c r="G60" s="26">
        <v>23.079561000000002</v>
      </c>
      <c r="H60" s="26">
        <v>13.217180000000001</v>
      </c>
      <c r="I60" s="2"/>
    </row>
    <row r="61" spans="1:19">
      <c r="G61" s="2"/>
      <c r="H61" s="2"/>
      <c r="I61" s="3"/>
    </row>
    <row r="63" spans="1:19">
      <c r="G63" s="2"/>
      <c r="H63" s="2"/>
      <c r="I63" s="2"/>
    </row>
    <row r="64" spans="1:19">
      <c r="G64" s="2"/>
      <c r="H64" s="2"/>
      <c r="I64" s="3"/>
    </row>
  </sheetData>
  <mergeCells count="26">
    <mergeCell ref="G1:W1"/>
    <mergeCell ref="G27:H28"/>
    <mergeCell ref="S30:S32"/>
    <mergeCell ref="P36:Q36"/>
    <mergeCell ref="R36:S36"/>
    <mergeCell ref="R34:S34"/>
    <mergeCell ref="P34:Q34"/>
    <mergeCell ref="P35:Q35"/>
    <mergeCell ref="R35:S35"/>
    <mergeCell ref="Q23:Q25"/>
    <mergeCell ref="P4:Q4"/>
    <mergeCell ref="R4:S4"/>
    <mergeCell ref="H21:H23"/>
    <mergeCell ref="G26:H26"/>
    <mergeCell ref="F55:H55"/>
    <mergeCell ref="P52:Q52"/>
    <mergeCell ref="P53:Q53"/>
    <mergeCell ref="R51:S51"/>
    <mergeCell ref="R52:S52"/>
    <mergeCell ref="R53:S53"/>
    <mergeCell ref="P51:Q51"/>
    <mergeCell ref="P44:P45"/>
    <mergeCell ref="R37:S37"/>
    <mergeCell ref="P38:Q38"/>
    <mergeCell ref="R38:S38"/>
    <mergeCell ref="P37:Q37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9775C-A0F1-4DD8-B03B-C98FFF707801}">
  <sheetPr codeName="Folha4"/>
  <dimension ref="A2:AG59"/>
  <sheetViews>
    <sheetView topLeftCell="A4" zoomScale="76" zoomScaleNormal="85" workbookViewId="0">
      <selection activeCell="C47" sqref="C47"/>
    </sheetView>
  </sheetViews>
  <sheetFormatPr defaultRowHeight="14.4"/>
  <cols>
    <col min="2" max="2" width="10.6640625" customWidth="1"/>
    <col min="3" max="3" width="12.44140625" customWidth="1"/>
    <col min="4" max="4" width="22" customWidth="1"/>
    <col min="10" max="10" width="10.6640625" customWidth="1"/>
    <col min="11" max="11" width="16.77734375" customWidth="1"/>
    <col min="12" max="12" width="18.33203125" customWidth="1"/>
  </cols>
  <sheetData>
    <row r="2" spans="1:16" ht="14.4" customHeight="1">
      <c r="A2" s="136" t="s">
        <v>89</v>
      </c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</row>
    <row r="3" spans="1:16" ht="14.4" customHeight="1">
      <c r="A3" s="136"/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  <c r="P3" s="136"/>
    </row>
    <row r="5" spans="1:16">
      <c r="A5" s="137" t="s">
        <v>117</v>
      </c>
      <c r="B5" s="137"/>
      <c r="C5" s="137"/>
      <c r="D5" s="137"/>
      <c r="E5" s="137"/>
      <c r="F5" s="137"/>
      <c r="G5" s="137"/>
      <c r="H5" s="137"/>
      <c r="I5" s="138" t="s">
        <v>118</v>
      </c>
      <c r="J5" s="138"/>
      <c r="K5" s="138"/>
      <c r="L5" s="138"/>
      <c r="M5" s="138"/>
      <c r="N5" s="138"/>
      <c r="O5" s="138"/>
      <c r="P5" s="138"/>
    </row>
    <row r="6" spans="1:16">
      <c r="A6" s="137"/>
      <c r="B6" s="137"/>
      <c r="C6" s="137"/>
      <c r="D6" s="137"/>
      <c r="E6" s="137"/>
      <c r="F6" s="137"/>
      <c r="G6" s="137"/>
      <c r="H6" s="137"/>
      <c r="I6" s="138"/>
      <c r="J6" s="138"/>
      <c r="K6" s="138"/>
      <c r="L6" s="138"/>
      <c r="M6" s="138"/>
      <c r="N6" s="138"/>
      <c r="O6" s="138"/>
      <c r="P6" s="138"/>
    </row>
    <row r="8" spans="1:16">
      <c r="E8" s="141" t="s">
        <v>112</v>
      </c>
      <c r="F8" s="141"/>
      <c r="G8" s="141"/>
    </row>
    <row r="9" spans="1:16" ht="43.2" customHeight="1">
      <c r="A9" s="139" t="s">
        <v>90</v>
      </c>
      <c r="B9" s="139"/>
      <c r="C9" s="32" t="s">
        <v>72</v>
      </c>
      <c r="D9" s="59" t="s">
        <v>102</v>
      </c>
      <c r="E9" s="70" t="s">
        <v>113</v>
      </c>
      <c r="F9" s="32">
        <v>4</v>
      </c>
      <c r="G9" s="32" t="s">
        <v>49</v>
      </c>
      <c r="I9" s="139" t="s">
        <v>90</v>
      </c>
      <c r="J9" s="139"/>
      <c r="K9" s="32" t="s">
        <v>71</v>
      </c>
      <c r="L9" s="59" t="s">
        <v>102</v>
      </c>
    </row>
    <row r="10" spans="1:16">
      <c r="F10" s="52"/>
      <c r="G10" s="52"/>
    </row>
    <row r="12" spans="1:16" ht="28.8">
      <c r="A12" s="20"/>
      <c r="B12" s="60" t="s">
        <v>68</v>
      </c>
      <c r="C12" s="70" t="s">
        <v>106</v>
      </c>
      <c r="D12" s="70" t="s">
        <v>75</v>
      </c>
      <c r="I12" s="20"/>
      <c r="J12" s="60" t="s">
        <v>68</v>
      </c>
      <c r="K12" s="70" t="s">
        <v>106</v>
      </c>
      <c r="L12" s="70" t="s">
        <v>75</v>
      </c>
    </row>
    <row r="13" spans="1:16">
      <c r="A13" s="20">
        <v>2018</v>
      </c>
      <c r="B13">
        <f>AVERAGE(TabelaProcuras!B24:B47)</f>
        <v>441.20833333333331</v>
      </c>
      <c r="C13">
        <f>(80.292*A13)-161588</f>
        <v>441.25599999999395</v>
      </c>
      <c r="D13">
        <f>(B13-C13)^2</f>
        <v>2.2721111105358078E-3</v>
      </c>
      <c r="I13" s="20">
        <v>2018</v>
      </c>
      <c r="J13">
        <f>AVERAGE(TabelaProcuras!B48:B51,TabelaProcuras!B2:B23)</f>
        <v>308.96153846153845</v>
      </c>
      <c r="K13">
        <f>(58.962*I13) - 118677</f>
        <v>308.31600000000617</v>
      </c>
      <c r="L13">
        <f>(J13-K13)^2</f>
        <v>0.41671990531746655</v>
      </c>
    </row>
    <row r="14" spans="1:16">
      <c r="A14" s="20">
        <v>2019</v>
      </c>
      <c r="B14">
        <f>AVERAGE(TabelaProcuras!C24:C47)</f>
        <v>520.20833333333337</v>
      </c>
      <c r="C14">
        <f>(80.292*A14)-161588</f>
        <v>521.54800000000978</v>
      </c>
      <c r="D14">
        <f>(B14-C14)^2</f>
        <v>1.7947067778038772</v>
      </c>
      <c r="I14" s="20">
        <v>2019</v>
      </c>
      <c r="J14">
        <f>AVERAGE(TabelaProcuras!C48:C51,TabelaProcuras!C2:C23)</f>
        <v>362.34615384615387</v>
      </c>
      <c r="K14">
        <f>(58.962*I14) - 118677</f>
        <v>367.2780000000057</v>
      </c>
      <c r="L14">
        <f>(J14-K14)^2</f>
        <v>24.32310648526315</v>
      </c>
    </row>
    <row r="15" spans="1:16">
      <c r="A15" s="20">
        <v>2020</v>
      </c>
      <c r="B15">
        <f>AVERAGE(TabelaProcuras!D24:D47)</f>
        <v>601.79166666666663</v>
      </c>
      <c r="C15">
        <f>(80.292*A15)-161588</f>
        <v>601.83999999999651</v>
      </c>
      <c r="D15">
        <f>(B15-C15)^2</f>
        <v>2.3361111107771701E-3</v>
      </c>
      <c r="I15" s="20">
        <v>2020</v>
      </c>
      <c r="J15">
        <f>AVERAGE(TabelaProcuras!D48:D51,TabelaProcuras!D2:D23)</f>
        <v>426.88461538461536</v>
      </c>
      <c r="K15">
        <f>(58.962*I15) - 118677</f>
        <v>426.24000000000524</v>
      </c>
      <c r="L15">
        <f>(J15-K15)^2</f>
        <v>0.41552899407605254</v>
      </c>
    </row>
    <row r="34" spans="2:33">
      <c r="T34" s="97"/>
    </row>
    <row r="35" spans="2:33">
      <c r="B35" s="140" t="s">
        <v>109</v>
      </c>
      <c r="C35" s="140"/>
      <c r="D35" s="140"/>
      <c r="J35" s="140" t="s">
        <v>109</v>
      </c>
      <c r="K35" s="140"/>
      <c r="L35" s="140"/>
    </row>
    <row r="36" spans="2:33">
      <c r="O36" s="58"/>
      <c r="P36" s="58"/>
      <c r="Q36" s="58"/>
      <c r="R36" s="58"/>
      <c r="S36" s="58"/>
      <c r="T36" s="99"/>
      <c r="U36" s="99"/>
      <c r="V36" s="99"/>
      <c r="W36" s="99"/>
      <c r="X36" s="99"/>
      <c r="Y36" s="58"/>
      <c r="Z36" s="58"/>
      <c r="AA36" s="58"/>
      <c r="AB36" s="58"/>
      <c r="AC36" s="58"/>
      <c r="AD36" s="58"/>
      <c r="AE36" s="58"/>
      <c r="AF36" s="58"/>
      <c r="AG36" s="58"/>
    </row>
    <row r="37" spans="2:33">
      <c r="B37" s="20" t="s">
        <v>107</v>
      </c>
      <c r="C37">
        <f>(80.292*2021)-161588</f>
        <v>682.13200000001234</v>
      </c>
      <c r="J37" s="20" t="s">
        <v>107</v>
      </c>
      <c r="K37">
        <f>(58.962*2021)-118677</f>
        <v>485.20200000000477</v>
      </c>
      <c r="O37" s="58"/>
      <c r="P37" s="58"/>
      <c r="Q37" s="58"/>
      <c r="R37" s="58"/>
      <c r="S37" s="58"/>
      <c r="T37" s="99"/>
      <c r="U37" s="99"/>
      <c r="V37" s="99"/>
      <c r="W37" s="99"/>
      <c r="X37" s="99"/>
      <c r="Y37" s="58"/>
      <c r="Z37" s="58"/>
      <c r="AA37" s="58"/>
      <c r="AB37" s="58"/>
      <c r="AC37" s="58"/>
      <c r="AD37" s="58"/>
      <c r="AE37" s="58"/>
      <c r="AF37" s="58"/>
      <c r="AG37" s="58"/>
    </row>
    <row r="38" spans="2:33">
      <c r="B38" s="20" t="s">
        <v>108</v>
      </c>
      <c r="C38">
        <f>SQRT(SUM(D13:D15)/3)</f>
        <v>0.77444926668895708</v>
      </c>
      <c r="J38" s="20" t="s">
        <v>108</v>
      </c>
      <c r="K38">
        <f>SQRT(SUM(L13:L15)/3)</f>
        <v>2.8957069018725328</v>
      </c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</row>
    <row r="39" spans="2:33">
      <c r="B39" s="20" t="s">
        <v>110</v>
      </c>
      <c r="C39">
        <f>C37*(F9+'Atual-N.Encomenda'!C10)</f>
        <v>4010.9361600000725</v>
      </c>
      <c r="J39" s="20" t="s">
        <v>110</v>
      </c>
      <c r="K39">
        <f>K37*(F9+'Atual-N.Encomenda'!C10)</f>
        <v>2852.9877600000282</v>
      </c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8"/>
      <c r="AA39" s="58"/>
      <c r="AB39" s="58"/>
      <c r="AC39" s="58"/>
      <c r="AD39" s="58"/>
      <c r="AE39" s="58"/>
      <c r="AF39" s="58"/>
      <c r="AG39" s="58"/>
    </row>
    <row r="40" spans="2:33">
      <c r="B40" s="20" t="s">
        <v>111</v>
      </c>
      <c r="C40">
        <f>SQRT((C38^2)*(F9+'Atual-N.Encomenda'!C10)+((C37^2)*('Atual-N.Encomenda'!C11^2)))</f>
        <v>556.96161172928066</v>
      </c>
      <c r="J40" s="20" t="s">
        <v>111</v>
      </c>
      <c r="K40">
        <f>SQRT((K38^2)*(F9+'Atual-N.Encomenda'!C10)+((K37^2)*('Atual-N.Encomenda'!C11^2)))</f>
        <v>396.22799627557492</v>
      </c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8"/>
      <c r="AA40" s="58"/>
      <c r="AB40" s="58"/>
      <c r="AC40" s="58"/>
      <c r="AD40" s="58"/>
      <c r="AE40" s="58"/>
      <c r="AF40" s="58"/>
      <c r="AG40" s="58"/>
    </row>
    <row r="41" spans="2:33"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</row>
    <row r="42" spans="2:33">
      <c r="O42" s="52"/>
      <c r="P42" s="52"/>
      <c r="Q42" s="52"/>
      <c r="R42" s="52"/>
      <c r="S42" s="52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</row>
    <row r="43" spans="2:33">
      <c r="B43" s="14" t="s">
        <v>127</v>
      </c>
      <c r="C43">
        <f>1/(2*50/F9)</f>
        <v>0.04</v>
      </c>
      <c r="J43" s="14" t="s">
        <v>127</v>
      </c>
      <c r="K43">
        <f>1/(2*50/F9)</f>
        <v>0.04</v>
      </c>
      <c r="O43" s="52"/>
      <c r="P43" s="52"/>
      <c r="Q43" s="52"/>
      <c r="R43" s="52"/>
      <c r="S43" s="52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</row>
    <row r="44" spans="2:33">
      <c r="B44" s="14" t="s">
        <v>23</v>
      </c>
      <c r="C44">
        <v>58</v>
      </c>
      <c r="J44" s="14" t="s">
        <v>23</v>
      </c>
      <c r="K44">
        <f>58</f>
        <v>58</v>
      </c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</row>
    <row r="45" spans="2:33">
      <c r="B45" s="14" t="s">
        <v>24</v>
      </c>
      <c r="C45">
        <f>(3*C44)/100</f>
        <v>1.74</v>
      </c>
      <c r="J45" s="14" t="s">
        <v>24</v>
      </c>
      <c r="K45">
        <f>(3*K44)/100</f>
        <v>1.74</v>
      </c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</row>
    <row r="46" spans="2:33">
      <c r="B46" s="14" t="s">
        <v>103</v>
      </c>
      <c r="C46" s="82">
        <f>C39+(C40*C45)</f>
        <v>4980.0493644090211</v>
      </c>
      <c r="D46" t="s">
        <v>116</v>
      </c>
      <c r="J46" s="14" t="s">
        <v>103</v>
      </c>
      <c r="K46" s="82">
        <f>K39+(K40*K45)</f>
        <v>3542.4244735195284</v>
      </c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</row>
    <row r="47" spans="2:33">
      <c r="B47" s="14" t="s">
        <v>13</v>
      </c>
      <c r="C47" s="82">
        <f>(C46-((C37*F9)/2)) + SQRT((2*C37*'Atual-N.Encomenda'!G8/'Atual-N.Encomenda'!G12))</f>
        <v>6051.2694248568905</v>
      </c>
      <c r="D47" t="s">
        <v>114</v>
      </c>
      <c r="J47" s="14" t="s">
        <v>13</v>
      </c>
      <c r="K47" s="82">
        <f>(K46-((K37*F9)/2)) + SQRT((2*K37*'Atual-N.Encomenda'!G8/'Atual-N.Encomenda'!G12))</f>
        <v>4626.0769055795045</v>
      </c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</row>
    <row r="48" spans="2:33">
      <c r="B48" s="14" t="s">
        <v>126</v>
      </c>
      <c r="C48" s="82">
        <f>C47-C46+((C37*F9)/2)</f>
        <v>2435.4840604478941</v>
      </c>
      <c r="J48" s="14" t="s">
        <v>126</v>
      </c>
      <c r="K48" s="82">
        <f>K47-K46+((K37*F9)/2)</f>
        <v>2054.0564320599856</v>
      </c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</row>
    <row r="49" spans="2:33">
      <c r="B49" s="14" t="s">
        <v>115</v>
      </c>
      <c r="C49">
        <f>0.014502*C40</f>
        <v>8.0770572932980276</v>
      </c>
      <c r="J49" s="14" t="s">
        <v>115</v>
      </c>
      <c r="K49">
        <f>0.014502*K40</f>
        <v>5.7460984019883874</v>
      </c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</row>
    <row r="50" spans="2:33">
      <c r="B50" s="20" t="s">
        <v>92</v>
      </c>
      <c r="C50">
        <f xml:space="preserve"> 'Atual-N.Encomenda'!G12*(C46-(C37*'Atual-N.Encomenda'!C10)-(C37*F9/2))+'Atual-N.Encomenda'!G10*(C49/F9)+('Atual-N.Encomenda'!G8/F9)</f>
        <v>1256.7471798074271</v>
      </c>
      <c r="J50" s="20" t="s">
        <v>92</v>
      </c>
      <c r="K50">
        <f xml:space="preserve"> 'Atual-N.Encomenda'!G12*(K46-(K37*'Atual-N.Encomenda'!C10)-(K37*F9/2))+'Atual-N.Encomenda'!G10*(K49/F9)+('Atual-N.Encomenda'!G8/F9)</f>
        <v>1002.2329809831206</v>
      </c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</row>
    <row r="51" spans="2:33">
      <c r="B51" s="117" t="s">
        <v>122</v>
      </c>
      <c r="C51" s="117"/>
      <c r="D51">
        <f>1/F9*C49</f>
        <v>2.0192643233245069</v>
      </c>
      <c r="E51" t="s">
        <v>47</v>
      </c>
      <c r="J51" s="117" t="s">
        <v>122</v>
      </c>
      <c r="K51" s="117"/>
      <c r="L51">
        <f>1/F9*K49</f>
        <v>1.4365246004970968</v>
      </c>
      <c r="M51" t="s">
        <v>48</v>
      </c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</row>
    <row r="52" spans="2:33">
      <c r="B52" s="135" t="s">
        <v>119</v>
      </c>
      <c r="C52" s="135"/>
      <c r="D52" s="76">
        <f>1 - C43</f>
        <v>0.96</v>
      </c>
      <c r="J52" s="117" t="s">
        <v>119</v>
      </c>
      <c r="K52" s="117"/>
      <c r="L52" s="77">
        <f>1-K43</f>
        <v>0.96</v>
      </c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</row>
    <row r="53" spans="2:33"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</row>
    <row r="54" spans="2:33"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</row>
    <row r="55" spans="2:33">
      <c r="C55" s="53" t="s">
        <v>91</v>
      </c>
      <c r="D55" s="53"/>
      <c r="E55" s="53"/>
      <c r="F55" s="53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</row>
    <row r="56" spans="2:33">
      <c r="C56" s="78" t="s">
        <v>92</v>
      </c>
      <c r="D56" s="56">
        <f>K50*26+C50*24</f>
        <v>56219.989820939387</v>
      </c>
      <c r="E56" s="56" t="s">
        <v>32</v>
      </c>
      <c r="F56" s="56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</row>
    <row r="57" spans="2:33" ht="28.8">
      <c r="C57" s="80" t="s">
        <v>123</v>
      </c>
      <c r="D57" s="93">
        <f>(L51*6.5) + D51*6</f>
        <v>21.452995843178172</v>
      </c>
      <c r="E57" s="93" t="s">
        <v>130</v>
      </c>
      <c r="F57" s="79"/>
      <c r="K57" s="88"/>
      <c r="L57" s="88"/>
      <c r="M57" s="90"/>
      <c r="N57" s="89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</row>
    <row r="58" spans="2:33">
      <c r="C58" s="92" t="s">
        <v>128</v>
      </c>
      <c r="D58" s="91">
        <f>1-1/((2*50)/F9)</f>
        <v>0.96</v>
      </c>
      <c r="E58" s="79"/>
      <c r="F58" s="79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8"/>
    </row>
    <row r="59" spans="2:33"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8"/>
    </row>
  </sheetData>
  <mergeCells count="12">
    <mergeCell ref="B52:C52"/>
    <mergeCell ref="J52:K52"/>
    <mergeCell ref="A2:P3"/>
    <mergeCell ref="A5:H6"/>
    <mergeCell ref="I5:P6"/>
    <mergeCell ref="A9:B9"/>
    <mergeCell ref="I9:J9"/>
    <mergeCell ref="B51:C51"/>
    <mergeCell ref="J51:K51"/>
    <mergeCell ref="B35:D35"/>
    <mergeCell ref="E8:G8"/>
    <mergeCell ref="J35:L3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D9033-33E5-4734-86E3-FCBC7FBAEAD9}">
  <sheetPr codeName="Folha5"/>
  <dimension ref="A2:AF54"/>
  <sheetViews>
    <sheetView topLeftCell="A31" zoomScale="88" zoomScaleNormal="100" workbookViewId="0">
      <selection activeCell="S54" sqref="S54"/>
    </sheetView>
  </sheetViews>
  <sheetFormatPr defaultRowHeight="14.4"/>
  <cols>
    <col min="4" max="5" width="11.77734375" customWidth="1"/>
    <col min="6" max="6" width="12.21875" customWidth="1"/>
    <col min="7" max="7" width="10.44140625" customWidth="1"/>
    <col min="8" max="8" width="13.109375" customWidth="1"/>
    <col min="9" max="9" width="12.109375" customWidth="1"/>
    <col min="10" max="11" width="13.44140625" customWidth="1"/>
    <col min="12" max="12" width="12.21875" customWidth="1"/>
    <col min="13" max="13" width="14.6640625" customWidth="1"/>
    <col min="15" max="15" width="13" customWidth="1"/>
    <col min="16" max="17" width="11.5546875" customWidth="1"/>
    <col min="18" max="18" width="15.21875" customWidth="1"/>
    <col min="19" max="19" width="12.33203125" customWidth="1"/>
    <col min="20" max="20" width="10.109375" customWidth="1"/>
    <col min="22" max="22" width="12.21875" customWidth="1"/>
    <col min="26" max="26" width="11.21875" customWidth="1"/>
    <col min="31" max="31" width="9.88671875" customWidth="1"/>
  </cols>
  <sheetData>
    <row r="2" spans="1:32" ht="18">
      <c r="P2" s="1"/>
      <c r="Q2" s="1"/>
      <c r="R2" s="1"/>
      <c r="S2" s="1"/>
      <c r="AB2" s="142" t="s">
        <v>87</v>
      </c>
      <c r="AC2" s="142"/>
      <c r="AD2" s="142"/>
      <c r="AE2" s="142"/>
      <c r="AF2" s="142"/>
    </row>
    <row r="3" spans="1:32" ht="28.2" customHeight="1">
      <c r="D3" s="70" t="s">
        <v>64</v>
      </c>
      <c r="E3" s="70" t="s">
        <v>65</v>
      </c>
      <c r="F3" s="70" t="s">
        <v>66</v>
      </c>
      <c r="G3" s="70" t="s">
        <v>67</v>
      </c>
      <c r="H3" s="70" t="s">
        <v>68</v>
      </c>
      <c r="I3" s="60" t="s">
        <v>76</v>
      </c>
      <c r="J3" s="70" t="s">
        <v>85</v>
      </c>
      <c r="K3" s="70" t="s">
        <v>120</v>
      </c>
      <c r="L3" s="60" t="s">
        <v>77</v>
      </c>
      <c r="M3" s="70" t="s">
        <v>79</v>
      </c>
      <c r="N3" s="70" t="s">
        <v>80</v>
      </c>
      <c r="O3" s="60" t="s">
        <v>78</v>
      </c>
      <c r="P3" s="71" t="s">
        <v>82</v>
      </c>
      <c r="Q3" s="71" t="s">
        <v>83</v>
      </c>
      <c r="R3" s="71" t="s">
        <v>84</v>
      </c>
      <c r="S3" s="71" t="s">
        <v>86</v>
      </c>
      <c r="AB3" s="29" t="s">
        <v>64</v>
      </c>
      <c r="AC3" s="29">
        <v>2018</v>
      </c>
      <c r="AD3" s="29">
        <v>2019</v>
      </c>
      <c r="AE3" s="29">
        <v>2020</v>
      </c>
      <c r="AF3" s="29" t="s">
        <v>81</v>
      </c>
    </row>
    <row r="4" spans="1:32">
      <c r="A4" s="20" t="s">
        <v>103</v>
      </c>
      <c r="B4" s="31">
        <v>2976</v>
      </c>
      <c r="D4" s="33">
        <v>1</v>
      </c>
      <c r="E4" s="34">
        <f ca="1">RANDBETWEEN(B4,B5)</f>
        <v>3020</v>
      </c>
      <c r="F4" s="35">
        <f ca="1">E4-I4</f>
        <v>2613.207473459011</v>
      </c>
      <c r="G4" s="35">
        <f ca="1">AVERAGE(E4,F4)</f>
        <v>2816.6037367295057</v>
      </c>
      <c r="H4" s="36">
        <f ca="1">AF4</f>
        <v>406.792526540989</v>
      </c>
      <c r="I4" s="35">
        <f ca="1">IF(E4&gt;H4,H4,E4)</f>
        <v>406.792526540989</v>
      </c>
      <c r="J4" s="35">
        <f ca="1">H4-I4</f>
        <v>0</v>
      </c>
      <c r="K4" s="40">
        <f ca="1">IF(J4&gt;0,1,0)</f>
        <v>0</v>
      </c>
      <c r="L4" s="37">
        <f ca="1">IF(F4&lt;B$4,1,0)</f>
        <v>1</v>
      </c>
      <c r="M4" s="35">
        <f ca="1">IF(F4&lt;B$4,B$5-F4,0)</f>
        <v>423.792526540989</v>
      </c>
      <c r="N4" s="38">
        <f t="shared" ref="N4:N35" ca="1" si="0">IF(L4=1,RANDBETWEEN(1,3),0)</f>
        <v>3</v>
      </c>
      <c r="O4" s="38">
        <f ca="1">IF(N4&gt;0,N4,0)</f>
        <v>3</v>
      </c>
      <c r="P4" s="44">
        <f ca="1">'Atual-N.Encomenda'!G$9/50 * 'Atual-N.Encomenda'!G$11*G4</f>
        <v>971.72828917167953</v>
      </c>
      <c r="Q4" s="44">
        <f ca="1">J4*'Atual-N.Encomenda'!$G$10</f>
        <v>0</v>
      </c>
      <c r="R4" s="44">
        <f ca="1">L4*'Atual-N.Encomenda'!G$8</f>
        <v>1500</v>
      </c>
      <c r="S4" s="86">
        <f ca="1">SUM(P4:R4)</f>
        <v>2471.7282891716795</v>
      </c>
      <c r="AB4" s="33">
        <v>1</v>
      </c>
      <c r="AC4" s="98">
        <f>TabelaProcuras!B2</f>
        <v>314</v>
      </c>
      <c r="AD4" s="35">
        <f>TabelaProcuras!C2</f>
        <v>374</v>
      </c>
      <c r="AE4" s="38">
        <f>TabelaProcuras!D2</f>
        <v>433</v>
      </c>
      <c r="AF4" s="50">
        <f ca="1">_xlfn.NORM.INV(RAND(),AVERAGE(AC4:AE4),_xlfn.STDEV.S(AC4:AE4))</f>
        <v>406.792526540989</v>
      </c>
    </row>
    <row r="5" spans="1:32">
      <c r="A5" s="20" t="s">
        <v>13</v>
      </c>
      <c r="B5" s="31">
        <v>3037</v>
      </c>
      <c r="D5" s="33">
        <f t="shared" ref="D5:D36" si="1">D4+1</f>
        <v>2</v>
      </c>
      <c r="E5" s="39">
        <f t="shared" ref="E5:E36" ca="1" si="2">F4+IF(O4=1,M4,0)</f>
        <v>2613.207473459011</v>
      </c>
      <c r="F5" s="40">
        <f t="shared" ref="F5:F35" ca="1" si="3">E5-I5</f>
        <v>2284.5707270578077</v>
      </c>
      <c r="G5" s="40">
        <f t="shared" ref="G5:G35" ca="1" si="4">AVERAGE(E5,F5)</f>
        <v>2448.8891002584096</v>
      </c>
      <c r="H5" s="41">
        <f ca="1">AF5 + (0.6*J4)</f>
        <v>328.63674640120348</v>
      </c>
      <c r="I5" s="40">
        <f t="shared" ref="I5:I35" ca="1" si="5">IF(E5&gt;H5,H5,E5)</f>
        <v>328.63674640120348</v>
      </c>
      <c r="J5" s="40">
        <f t="shared" ref="J5:J53" ca="1" si="6">H5-I5</f>
        <v>0</v>
      </c>
      <c r="K5" s="40">
        <f t="shared" ref="K5:K53" ca="1" si="7">IF(J5&gt;0,1,0)</f>
        <v>0</v>
      </c>
      <c r="L5" s="72">
        <v>0</v>
      </c>
      <c r="M5" s="40">
        <f t="shared" ref="M5:M36" ca="1" si="8">IF(O4&gt;1,M4,IF(L5=1,B$5-F5,0))</f>
        <v>423.792526540989</v>
      </c>
      <c r="N5" s="43">
        <f t="shared" ca="1" si="0"/>
        <v>0</v>
      </c>
      <c r="O5" s="43">
        <f t="shared" ref="O5:O36" ca="1" si="9">IF(N5&gt;0,N5,IF(O4&gt;0,O4-1,0))</f>
        <v>2</v>
      </c>
      <c r="P5" s="44">
        <f ca="1">'Atual-N.Encomenda'!G$9/50 * 'Atual-N.Encomenda'!G$11*G5</f>
        <v>844.86673958915139</v>
      </c>
      <c r="Q5" s="44">
        <f ca="1">J5*'Atual-N.Encomenda'!$G$10</f>
        <v>0</v>
      </c>
      <c r="R5" s="44">
        <f>L5*'Atual-N.Encomenda'!G$8</f>
        <v>0</v>
      </c>
      <c r="S5" s="86">
        <f t="shared" ref="S5:S53" ca="1" si="10">SUM(P5:R5)</f>
        <v>844.86673958915139</v>
      </c>
      <c r="AB5" s="33">
        <f>AB4+1</f>
        <v>2</v>
      </c>
      <c r="AC5" s="98">
        <f>TabelaProcuras!B3</f>
        <v>314</v>
      </c>
      <c r="AD5" s="35">
        <f>TabelaProcuras!C3</f>
        <v>372</v>
      </c>
      <c r="AE5" s="38">
        <f>TabelaProcuras!D3</f>
        <v>451</v>
      </c>
      <c r="AF5" s="51">
        <f ca="1">_xlfn.NORM.INV(RAND(),AVERAGE(AC5:AE5),_xlfn.STDEV.S(AC5:AE5))</f>
        <v>328.63674640120348</v>
      </c>
    </row>
    <row r="6" spans="1:32">
      <c r="D6" s="33">
        <f t="shared" si="1"/>
        <v>3</v>
      </c>
      <c r="E6" s="39">
        <f t="shared" ca="1" si="2"/>
        <v>2284.5707270578077</v>
      </c>
      <c r="F6" s="40">
        <f t="shared" ca="1" si="3"/>
        <v>1874.5104957631074</v>
      </c>
      <c r="G6" s="40">
        <f t="shared" ca="1" si="4"/>
        <v>2079.5406114104576</v>
      </c>
      <c r="H6" s="41">
        <f t="shared" ref="H6:H53" ca="1" si="11">AF6 + (0.6*J5)</f>
        <v>410.06023129470032</v>
      </c>
      <c r="I6" s="40">
        <f t="shared" ca="1" si="5"/>
        <v>410.06023129470032</v>
      </c>
      <c r="J6" s="40">
        <f t="shared" ca="1" si="6"/>
        <v>0</v>
      </c>
      <c r="K6" s="40">
        <f t="shared" ca="1" si="7"/>
        <v>0</v>
      </c>
      <c r="L6" s="72">
        <v>0</v>
      </c>
      <c r="M6" s="40">
        <f t="shared" ca="1" si="8"/>
        <v>423.792526540989</v>
      </c>
      <c r="N6" s="43">
        <f t="shared" ca="1" si="0"/>
        <v>0</v>
      </c>
      <c r="O6" s="43">
        <f t="shared" ca="1" si="9"/>
        <v>1</v>
      </c>
      <c r="P6" s="44">
        <f ca="1">'Atual-N.Encomenda'!G$9/50 * 'Atual-N.Encomenda'!G$11*G6</f>
        <v>717.44151093660798</v>
      </c>
      <c r="Q6" s="44">
        <f ca="1">J6*'Atual-N.Encomenda'!$G$10</f>
        <v>0</v>
      </c>
      <c r="R6" s="44">
        <f>L6*'Atual-N.Encomenda'!G$8</f>
        <v>0</v>
      </c>
      <c r="S6" s="86">
        <f t="shared" ca="1" si="10"/>
        <v>717.44151093660798</v>
      </c>
      <c r="AB6" s="33">
        <f t="shared" ref="AB6:AB52" si="12">AB5+1</f>
        <v>3</v>
      </c>
      <c r="AC6" s="98">
        <f>TabelaProcuras!B4</f>
        <v>318</v>
      </c>
      <c r="AD6" s="35">
        <f>TabelaProcuras!C4</f>
        <v>347</v>
      </c>
      <c r="AE6" s="38">
        <f>TabelaProcuras!D4</f>
        <v>430</v>
      </c>
      <c r="AF6" s="51">
        <f t="shared" ref="AF6:AF53" ca="1" si="13">_xlfn.NORM.INV(RAND(),AVERAGE(AC6:AE6),_xlfn.STDEV.S(AC6:AE6))</f>
        <v>410.06023129470032</v>
      </c>
    </row>
    <row r="7" spans="1:32">
      <c r="D7" s="33">
        <f t="shared" si="1"/>
        <v>4</v>
      </c>
      <c r="E7" s="39">
        <f t="shared" ca="1" si="2"/>
        <v>2298.3030223040964</v>
      </c>
      <c r="F7" s="40">
        <f t="shared" ca="1" si="3"/>
        <v>1989.0504402741074</v>
      </c>
      <c r="G7" s="40">
        <f t="shared" ca="1" si="4"/>
        <v>2143.676731289102</v>
      </c>
      <c r="H7" s="41">
        <f t="shared" ca="1" si="11"/>
        <v>309.25258202998913</v>
      </c>
      <c r="I7" s="40">
        <f t="shared" ca="1" si="5"/>
        <v>309.25258202998913</v>
      </c>
      <c r="J7" s="40">
        <f t="shared" ca="1" si="6"/>
        <v>0</v>
      </c>
      <c r="K7" s="40">
        <f t="shared" ca="1" si="7"/>
        <v>0</v>
      </c>
      <c r="L7" s="72">
        <f>0</f>
        <v>0</v>
      </c>
      <c r="M7" s="40">
        <f t="shared" ca="1" si="8"/>
        <v>0</v>
      </c>
      <c r="N7" s="43">
        <f t="shared" ca="1" si="0"/>
        <v>0</v>
      </c>
      <c r="O7" s="43">
        <f t="shared" ca="1" si="9"/>
        <v>0</v>
      </c>
      <c r="P7" s="44">
        <f ca="1">'Atual-N.Encomenda'!G$9/50 * 'Atual-N.Encomenda'!G$11*G7</f>
        <v>739.56847229474022</v>
      </c>
      <c r="Q7" s="44">
        <f ca="1">J7*'Atual-N.Encomenda'!$G$10</f>
        <v>0</v>
      </c>
      <c r="R7" s="44">
        <f>L7*'Atual-N.Encomenda'!G$8</f>
        <v>0</v>
      </c>
      <c r="S7" s="86">
        <f t="shared" ca="1" si="10"/>
        <v>739.56847229474022</v>
      </c>
      <c r="U7" s="53" t="s">
        <v>121</v>
      </c>
      <c r="V7" s="53"/>
      <c r="AB7" s="33">
        <f t="shared" si="12"/>
        <v>4</v>
      </c>
      <c r="AC7" s="98">
        <f>TabelaProcuras!B5</f>
        <v>307</v>
      </c>
      <c r="AD7" s="35">
        <f>TabelaProcuras!C5</f>
        <v>338</v>
      </c>
      <c r="AE7" s="38">
        <f>TabelaProcuras!D5</f>
        <v>420</v>
      </c>
      <c r="AF7" s="51">
        <f t="shared" ca="1" si="13"/>
        <v>309.25258202998913</v>
      </c>
    </row>
    <row r="8" spans="1:32">
      <c r="A8" s="30" t="s">
        <v>70</v>
      </c>
      <c r="B8">
        <f>AVERAGE('Política(s,S)'!C46,'Política(s,S)'!K46)</f>
        <v>4261.236918964275</v>
      </c>
      <c r="D8" s="33">
        <f t="shared" si="1"/>
        <v>5</v>
      </c>
      <c r="E8" s="39">
        <f t="shared" ca="1" si="2"/>
        <v>1989.0504402741074</v>
      </c>
      <c r="F8" s="40">
        <f t="shared" ca="1" si="3"/>
        <v>1607.5335355471805</v>
      </c>
      <c r="G8" s="40">
        <f t="shared" ca="1" si="4"/>
        <v>1798.2919879106439</v>
      </c>
      <c r="H8" s="41">
        <f t="shared" ca="1" si="11"/>
        <v>381.5169047269269</v>
      </c>
      <c r="I8" s="40">
        <f t="shared" ca="1" si="5"/>
        <v>381.5169047269269</v>
      </c>
      <c r="J8" s="40">
        <f t="shared" ca="1" si="6"/>
        <v>0</v>
      </c>
      <c r="K8" s="40">
        <f t="shared" ca="1" si="7"/>
        <v>0</v>
      </c>
      <c r="L8" s="42">
        <f ca="1">IF(AND(F8&lt;B$4,O7&lt;=1),1,0)</f>
        <v>1</v>
      </c>
      <c r="M8" s="40">
        <f t="shared" ca="1" si="8"/>
        <v>1429.4664644528195</v>
      </c>
      <c r="N8" s="43">
        <f t="shared" ca="1" si="0"/>
        <v>2</v>
      </c>
      <c r="O8" s="43">
        <f t="shared" ca="1" si="9"/>
        <v>2</v>
      </c>
      <c r="P8" s="44">
        <f ca="1">'Atual-N.Encomenda'!G$9/50 * 'Atual-N.Encomenda'!G$11*G8</f>
        <v>620.41073582917215</v>
      </c>
      <c r="Q8" s="44">
        <f ca="1">J8*'Atual-N.Encomenda'!$G$10</f>
        <v>0</v>
      </c>
      <c r="R8" s="44">
        <f ca="1">L8*'Atual-N.Encomenda'!G$8</f>
        <v>1500</v>
      </c>
      <c r="S8" s="86">
        <f t="shared" ca="1" si="10"/>
        <v>2120.4107358291722</v>
      </c>
      <c r="U8" s="73">
        <f ca="1">1 -( SUM(K4:K53)/50)</f>
        <v>0.96</v>
      </c>
      <c r="V8" s="73"/>
      <c r="AB8" s="33">
        <f t="shared" si="12"/>
        <v>5</v>
      </c>
      <c r="AC8" s="98">
        <f>TabelaProcuras!B6</f>
        <v>306</v>
      </c>
      <c r="AD8" s="35">
        <f>TabelaProcuras!C6</f>
        <v>371</v>
      </c>
      <c r="AE8" s="38">
        <f>TabelaProcuras!D6</f>
        <v>379</v>
      </c>
      <c r="AF8" s="51">
        <f t="shared" ca="1" si="13"/>
        <v>381.5169047269269</v>
      </c>
    </row>
    <row r="9" spans="1:32">
      <c r="A9" s="30" t="s">
        <v>69</v>
      </c>
      <c r="B9">
        <f>AVERAGE('Política(s,S)'!C47,'Política(s,S)'!K47)</f>
        <v>5338.673165218197</v>
      </c>
      <c r="D9" s="33">
        <f t="shared" si="1"/>
        <v>6</v>
      </c>
      <c r="E9" s="39">
        <f t="shared" ca="1" si="2"/>
        <v>1607.5335355471805</v>
      </c>
      <c r="F9" s="40">
        <f t="shared" ca="1" si="3"/>
        <v>1298.3123332419127</v>
      </c>
      <c r="G9" s="40">
        <f t="shared" ca="1" si="4"/>
        <v>1452.9229343945467</v>
      </c>
      <c r="H9" s="41">
        <f t="shared" ca="1" si="11"/>
        <v>309.2212023052677</v>
      </c>
      <c r="I9" s="40">
        <f t="shared" ca="1" si="5"/>
        <v>309.2212023052677</v>
      </c>
      <c r="J9" s="40">
        <f t="shared" ca="1" si="6"/>
        <v>0</v>
      </c>
      <c r="K9" s="40">
        <f t="shared" ca="1" si="7"/>
        <v>0</v>
      </c>
      <c r="L9" s="72">
        <v>0</v>
      </c>
      <c r="M9" s="40">
        <f t="shared" ca="1" si="8"/>
        <v>1429.4664644528195</v>
      </c>
      <c r="N9" s="43">
        <f t="shared" ca="1" si="0"/>
        <v>0</v>
      </c>
      <c r="O9" s="43">
        <f t="shared" ca="1" si="9"/>
        <v>1</v>
      </c>
      <c r="P9" s="44">
        <f ca="1">'Atual-N.Encomenda'!G$9/50 * 'Atual-N.Encomenda'!G$11*G9</f>
        <v>501.25841236611865</v>
      </c>
      <c r="Q9" s="44">
        <f ca="1">J9*'Atual-N.Encomenda'!$G$10</f>
        <v>0</v>
      </c>
      <c r="R9" s="44">
        <f>L9*'Atual-N.Encomenda'!G$8</f>
        <v>0</v>
      </c>
      <c r="S9" s="86">
        <f t="shared" ca="1" si="10"/>
        <v>501.25841236611865</v>
      </c>
      <c r="AB9" s="33">
        <f t="shared" si="12"/>
        <v>6</v>
      </c>
      <c r="AC9" s="98">
        <f>TabelaProcuras!B7</f>
        <v>292</v>
      </c>
      <c r="AD9" s="35">
        <f>TabelaProcuras!C7</f>
        <v>358</v>
      </c>
      <c r="AE9" s="38">
        <f>TabelaProcuras!D7</f>
        <v>418</v>
      </c>
      <c r="AF9" s="51">
        <f t="shared" ca="1" si="13"/>
        <v>309.2212023052677</v>
      </c>
    </row>
    <row r="10" spans="1:32">
      <c r="D10" s="33">
        <f t="shared" si="1"/>
        <v>7</v>
      </c>
      <c r="E10" s="39">
        <f t="shared" ca="1" si="2"/>
        <v>2727.778797694732</v>
      </c>
      <c r="F10" s="40">
        <f t="shared" ca="1" si="3"/>
        <v>2370.5637707734377</v>
      </c>
      <c r="G10" s="40">
        <f t="shared" ca="1" si="4"/>
        <v>2549.1712842340849</v>
      </c>
      <c r="H10" s="41">
        <f t="shared" ca="1" si="11"/>
        <v>357.21502692129417</v>
      </c>
      <c r="I10" s="40">
        <f t="shared" ca="1" si="5"/>
        <v>357.21502692129417</v>
      </c>
      <c r="J10" s="40">
        <f t="shared" ca="1" si="6"/>
        <v>0</v>
      </c>
      <c r="K10" s="40">
        <f t="shared" ca="1" si="7"/>
        <v>0</v>
      </c>
      <c r="L10" s="72">
        <v>0</v>
      </c>
      <c r="M10" s="40">
        <f t="shared" ca="1" si="8"/>
        <v>0</v>
      </c>
      <c r="N10" s="43">
        <f t="shared" ca="1" si="0"/>
        <v>0</v>
      </c>
      <c r="O10" s="43">
        <f t="shared" ca="1" si="9"/>
        <v>0</v>
      </c>
      <c r="P10" s="44">
        <f ca="1">'Atual-N.Encomenda'!G$9/50 * 'Atual-N.Encomenda'!G$11*G10</f>
        <v>879.4640930607593</v>
      </c>
      <c r="Q10" s="44">
        <f ca="1">J10*'Atual-N.Encomenda'!$G$10</f>
        <v>0</v>
      </c>
      <c r="R10" s="44">
        <f>L10*'Atual-N.Encomenda'!G$8</f>
        <v>0</v>
      </c>
      <c r="S10" s="86">
        <f t="shared" ca="1" si="10"/>
        <v>879.4640930607593</v>
      </c>
      <c r="AB10" s="33">
        <f t="shared" si="12"/>
        <v>7</v>
      </c>
      <c r="AC10" s="98">
        <f>TabelaProcuras!B8</f>
        <v>317</v>
      </c>
      <c r="AD10" s="35">
        <f>TabelaProcuras!C8</f>
        <v>372</v>
      </c>
      <c r="AE10" s="38">
        <f>TabelaProcuras!D8</f>
        <v>441</v>
      </c>
      <c r="AF10" s="51">
        <f t="shared" ca="1" si="13"/>
        <v>357.21502692129417</v>
      </c>
    </row>
    <row r="11" spans="1:32">
      <c r="D11" s="33">
        <f t="shared" si="1"/>
        <v>8</v>
      </c>
      <c r="E11" s="39">
        <f t="shared" ca="1" si="2"/>
        <v>2370.5637707734377</v>
      </c>
      <c r="F11" s="40">
        <f t="shared" ca="1" si="3"/>
        <v>2013.1247708604053</v>
      </c>
      <c r="G11" s="40">
        <f t="shared" ca="1" si="4"/>
        <v>2191.8442708169214</v>
      </c>
      <c r="H11" s="41">
        <f t="shared" ca="1" si="11"/>
        <v>357.43899991303238</v>
      </c>
      <c r="I11" s="40">
        <f t="shared" ca="1" si="5"/>
        <v>357.43899991303238</v>
      </c>
      <c r="J11" s="40">
        <f t="shared" ca="1" si="6"/>
        <v>0</v>
      </c>
      <c r="K11" s="40">
        <f t="shared" ca="1" si="7"/>
        <v>0</v>
      </c>
      <c r="L11" s="72">
        <v>0</v>
      </c>
      <c r="M11" s="40">
        <f t="shared" ca="1" si="8"/>
        <v>0</v>
      </c>
      <c r="N11" s="43">
        <f t="shared" ca="1" si="0"/>
        <v>0</v>
      </c>
      <c r="O11" s="43">
        <f t="shared" ca="1" si="9"/>
        <v>0</v>
      </c>
      <c r="P11" s="44">
        <f ca="1">'Atual-N.Encomenda'!G$9/50 * 'Atual-N.Encomenda'!G$11*G11</f>
        <v>756.18627343183789</v>
      </c>
      <c r="Q11" s="44">
        <f ca="1">J11*'Atual-N.Encomenda'!$G$10</f>
        <v>0</v>
      </c>
      <c r="R11" s="44">
        <f>L11*'Atual-N.Encomenda'!G$8</f>
        <v>0</v>
      </c>
      <c r="S11" s="86">
        <f t="shared" ca="1" si="10"/>
        <v>756.18627343183789</v>
      </c>
      <c r="AB11" s="33">
        <f t="shared" si="12"/>
        <v>8</v>
      </c>
      <c r="AC11" s="98">
        <f>TabelaProcuras!B9</f>
        <v>303</v>
      </c>
      <c r="AD11" s="35">
        <f>TabelaProcuras!C9</f>
        <v>380</v>
      </c>
      <c r="AE11" s="38">
        <f>TabelaProcuras!D9</f>
        <v>414</v>
      </c>
      <c r="AF11" s="51">
        <f t="shared" ca="1" si="13"/>
        <v>357.43899991303238</v>
      </c>
    </row>
    <row r="12" spans="1:32">
      <c r="D12" s="33">
        <f t="shared" si="1"/>
        <v>9</v>
      </c>
      <c r="E12" s="39">
        <f t="shared" ca="1" si="2"/>
        <v>2013.1247708604053</v>
      </c>
      <c r="F12" s="40">
        <f t="shared" ca="1" si="3"/>
        <v>1391.1382745661392</v>
      </c>
      <c r="G12" s="40">
        <f t="shared" ca="1" si="4"/>
        <v>1702.1315227132723</v>
      </c>
      <c r="H12" s="41">
        <f t="shared" ca="1" si="11"/>
        <v>621.98649629426609</v>
      </c>
      <c r="I12" s="40">
        <f t="shared" ca="1" si="5"/>
        <v>621.98649629426609</v>
      </c>
      <c r="J12" s="40">
        <f t="shared" ca="1" si="6"/>
        <v>0</v>
      </c>
      <c r="K12" s="40">
        <f t="shared" ca="1" si="7"/>
        <v>0</v>
      </c>
      <c r="L12" s="42">
        <f ca="1">IF(AND(F12&lt;B$4,O11&lt;=1),1,0)</f>
        <v>1</v>
      </c>
      <c r="M12" s="40">
        <f t="shared" ca="1" si="8"/>
        <v>1645.8617254338608</v>
      </c>
      <c r="N12" s="43">
        <f t="shared" ca="1" si="0"/>
        <v>2</v>
      </c>
      <c r="O12" s="43">
        <f t="shared" ca="1" si="9"/>
        <v>2</v>
      </c>
      <c r="P12" s="44">
        <f ca="1">'Atual-N.Encomenda'!G$9/50 * 'Atual-N.Encomenda'!G$11*G12</f>
        <v>587.23537533607896</v>
      </c>
      <c r="Q12" s="44">
        <f ca="1">J12*'Atual-N.Encomenda'!$G$10</f>
        <v>0</v>
      </c>
      <c r="R12" s="44">
        <f ca="1">L12*'Atual-N.Encomenda'!G$8</f>
        <v>1500</v>
      </c>
      <c r="S12" s="86">
        <f t="shared" ca="1" si="10"/>
        <v>2087.235375336079</v>
      </c>
      <c r="AB12" s="33">
        <f t="shared" si="12"/>
        <v>9</v>
      </c>
      <c r="AC12" s="98">
        <f>TabelaProcuras!B10</f>
        <v>320</v>
      </c>
      <c r="AD12" s="35">
        <f>TabelaProcuras!C10</f>
        <v>374</v>
      </c>
      <c r="AE12" s="38">
        <f>TabelaProcuras!D10</f>
        <v>473</v>
      </c>
      <c r="AF12" s="51">
        <f t="shared" ca="1" si="13"/>
        <v>621.98649629426609</v>
      </c>
    </row>
    <row r="13" spans="1:32">
      <c r="D13" s="33">
        <f t="shared" si="1"/>
        <v>10</v>
      </c>
      <c r="E13" s="39">
        <f t="shared" ca="1" si="2"/>
        <v>1391.1382745661392</v>
      </c>
      <c r="F13" s="40">
        <f t="shared" ca="1" si="3"/>
        <v>1010.2467443568476</v>
      </c>
      <c r="G13" s="40">
        <f t="shared" ca="1" si="4"/>
        <v>1200.6925094614935</v>
      </c>
      <c r="H13" s="41">
        <f t="shared" ca="1" si="11"/>
        <v>380.89153020929172</v>
      </c>
      <c r="I13" s="40">
        <f t="shared" ca="1" si="5"/>
        <v>380.89153020929172</v>
      </c>
      <c r="J13" s="40">
        <f t="shared" ca="1" si="6"/>
        <v>0</v>
      </c>
      <c r="K13" s="40">
        <f t="shared" ca="1" si="7"/>
        <v>0</v>
      </c>
      <c r="L13" s="72">
        <v>0</v>
      </c>
      <c r="M13" s="40">
        <f t="shared" ca="1" si="8"/>
        <v>1645.8617254338608</v>
      </c>
      <c r="N13" s="43">
        <f t="shared" ca="1" si="0"/>
        <v>0</v>
      </c>
      <c r="O13" s="43">
        <f t="shared" ca="1" si="9"/>
        <v>1</v>
      </c>
      <c r="P13" s="44">
        <f ca="1">'Atual-N.Encomenda'!G$9/50 * 'Atual-N.Encomenda'!G$11*G13</f>
        <v>414.23891576421528</v>
      </c>
      <c r="Q13" s="44">
        <f ca="1">J13*'Atual-N.Encomenda'!$G$10</f>
        <v>0</v>
      </c>
      <c r="R13" s="44">
        <f>L13*'Atual-N.Encomenda'!G$8</f>
        <v>0</v>
      </c>
      <c r="S13" s="86">
        <f t="shared" ca="1" si="10"/>
        <v>414.23891576421528</v>
      </c>
      <c r="AB13" s="33">
        <f t="shared" si="12"/>
        <v>10</v>
      </c>
      <c r="AC13" s="98">
        <f>TabelaProcuras!B11</f>
        <v>296</v>
      </c>
      <c r="AD13" s="35">
        <f>TabelaProcuras!C11</f>
        <v>343</v>
      </c>
      <c r="AE13" s="38">
        <f>TabelaProcuras!D11</f>
        <v>458</v>
      </c>
      <c r="AF13" s="51">
        <f t="shared" ca="1" si="13"/>
        <v>380.89153020929172</v>
      </c>
    </row>
    <row r="14" spans="1:32">
      <c r="D14" s="33">
        <f t="shared" si="1"/>
        <v>11</v>
      </c>
      <c r="E14" s="39">
        <f t="shared" ca="1" si="2"/>
        <v>2656.1084697907081</v>
      </c>
      <c r="F14" s="40">
        <f t="shared" ca="1" si="3"/>
        <v>2283.9963153153972</v>
      </c>
      <c r="G14" s="40">
        <f t="shared" ca="1" si="4"/>
        <v>2470.0523925530524</v>
      </c>
      <c r="H14" s="41">
        <f t="shared" ca="1" si="11"/>
        <v>372.11215447531112</v>
      </c>
      <c r="I14" s="40">
        <f t="shared" ca="1" si="5"/>
        <v>372.11215447531112</v>
      </c>
      <c r="J14" s="40">
        <f t="shared" ca="1" si="6"/>
        <v>0</v>
      </c>
      <c r="K14" s="40">
        <f t="shared" ca="1" si="7"/>
        <v>0</v>
      </c>
      <c r="L14" s="72">
        <v>0</v>
      </c>
      <c r="M14" s="40">
        <f t="shared" ca="1" si="8"/>
        <v>0</v>
      </c>
      <c r="N14" s="43">
        <f t="shared" ca="1" si="0"/>
        <v>0</v>
      </c>
      <c r="O14" s="43">
        <f t="shared" ca="1" si="9"/>
        <v>0</v>
      </c>
      <c r="P14" s="44">
        <f ca="1">'Atual-N.Encomenda'!G$9/50 * 'Atual-N.Encomenda'!G$11*G14</f>
        <v>852.16807543080313</v>
      </c>
      <c r="Q14" s="44">
        <f ca="1">J14*'Atual-N.Encomenda'!$G$10</f>
        <v>0</v>
      </c>
      <c r="R14" s="44">
        <f>L14*'Atual-N.Encomenda'!G$8</f>
        <v>0</v>
      </c>
      <c r="S14" s="86">
        <f t="shared" ca="1" si="10"/>
        <v>852.16807543080313</v>
      </c>
      <c r="AB14" s="33">
        <f t="shared" si="12"/>
        <v>11</v>
      </c>
      <c r="AC14" s="98">
        <f>TabelaProcuras!B12</f>
        <v>317</v>
      </c>
      <c r="AD14" s="35">
        <f>TabelaProcuras!C12</f>
        <v>366</v>
      </c>
      <c r="AE14" s="38">
        <f>TabelaProcuras!D12</f>
        <v>441</v>
      </c>
      <c r="AF14" s="51">
        <f t="shared" ca="1" si="13"/>
        <v>372.11215447531112</v>
      </c>
    </row>
    <row r="15" spans="1:32">
      <c r="D15" s="33">
        <f t="shared" si="1"/>
        <v>12</v>
      </c>
      <c r="E15" s="39">
        <f t="shared" ca="1" si="2"/>
        <v>2283.9963153153972</v>
      </c>
      <c r="F15" s="40">
        <f t="shared" ca="1" si="3"/>
        <v>1966.2714462932156</v>
      </c>
      <c r="G15" s="40">
        <f t="shared" ca="1" si="4"/>
        <v>2125.1338808043065</v>
      </c>
      <c r="H15" s="41">
        <f t="shared" ca="1" si="11"/>
        <v>317.72486902218157</v>
      </c>
      <c r="I15" s="40">
        <f t="shared" ca="1" si="5"/>
        <v>317.72486902218157</v>
      </c>
      <c r="J15" s="40">
        <f t="shared" ca="1" si="6"/>
        <v>0</v>
      </c>
      <c r="K15" s="40">
        <f t="shared" ca="1" si="7"/>
        <v>0</v>
      </c>
      <c r="L15" s="72">
        <v>0</v>
      </c>
      <c r="M15" s="40">
        <f t="shared" ca="1" si="8"/>
        <v>0</v>
      </c>
      <c r="N15" s="43">
        <f t="shared" ca="1" si="0"/>
        <v>0</v>
      </c>
      <c r="O15" s="43">
        <f t="shared" ca="1" si="9"/>
        <v>0</v>
      </c>
      <c r="P15" s="44">
        <f ca="1">'Atual-N.Encomenda'!G$9/50 * 'Atual-N.Encomenda'!G$11*G15</f>
        <v>733.17118887748575</v>
      </c>
      <c r="Q15" s="44">
        <f ca="1">J15*'Atual-N.Encomenda'!$G$10</f>
        <v>0</v>
      </c>
      <c r="R15" s="44">
        <f>L15*'Atual-N.Encomenda'!G$8</f>
        <v>0</v>
      </c>
      <c r="S15" s="86">
        <f t="shared" ca="1" si="10"/>
        <v>733.17118887748575</v>
      </c>
      <c r="AB15" s="33">
        <f t="shared" si="12"/>
        <v>12</v>
      </c>
      <c r="AC15" s="98">
        <f>TabelaProcuras!B13</f>
        <v>319</v>
      </c>
      <c r="AD15" s="35">
        <f>TabelaProcuras!C13</f>
        <v>367</v>
      </c>
      <c r="AE15" s="38">
        <f>TabelaProcuras!D13</f>
        <v>407</v>
      </c>
      <c r="AF15" s="51">
        <f t="shared" ca="1" si="13"/>
        <v>317.72486902218157</v>
      </c>
    </row>
    <row r="16" spans="1:32">
      <c r="D16" s="33">
        <f t="shared" si="1"/>
        <v>13</v>
      </c>
      <c r="E16" s="39">
        <f t="shared" ca="1" si="2"/>
        <v>1966.2714462932156</v>
      </c>
      <c r="F16" s="40">
        <f t="shared" ca="1" si="3"/>
        <v>1677.3954383046073</v>
      </c>
      <c r="G16" s="40">
        <f t="shared" ca="1" si="4"/>
        <v>1821.8334422989115</v>
      </c>
      <c r="H16" s="41">
        <f t="shared" ca="1" si="11"/>
        <v>288.87600798860831</v>
      </c>
      <c r="I16" s="40">
        <f t="shared" ca="1" si="5"/>
        <v>288.87600798860831</v>
      </c>
      <c r="J16" s="40">
        <f t="shared" ca="1" si="6"/>
        <v>0</v>
      </c>
      <c r="K16" s="40">
        <f t="shared" ca="1" si="7"/>
        <v>0</v>
      </c>
      <c r="L16" s="42">
        <f ca="1">IF(AND(F16&lt;B$4,O15&lt;=1),1,0)</f>
        <v>1</v>
      </c>
      <c r="M16" s="40">
        <f t="shared" ca="1" si="8"/>
        <v>1359.6045616953927</v>
      </c>
      <c r="N16" s="43">
        <f t="shared" ca="1" si="0"/>
        <v>1</v>
      </c>
      <c r="O16" s="43">
        <f t="shared" ca="1" si="9"/>
        <v>1</v>
      </c>
      <c r="P16" s="44">
        <f ca="1">'Atual-N.Encomenda'!G$9/50 * 'Atual-N.Encomenda'!G$11*G16</f>
        <v>628.53253759312452</v>
      </c>
      <c r="Q16" s="44">
        <f ca="1">J16*'Atual-N.Encomenda'!$G$10</f>
        <v>0</v>
      </c>
      <c r="R16" s="44">
        <f ca="1">L16*'Atual-N.Encomenda'!G$8</f>
        <v>1500</v>
      </c>
      <c r="S16" s="86">
        <f t="shared" ca="1" si="10"/>
        <v>2128.5325375931243</v>
      </c>
      <c r="AB16" s="33">
        <f t="shared" si="12"/>
        <v>13</v>
      </c>
      <c r="AC16" s="98">
        <f>TabelaProcuras!B14</f>
        <v>332</v>
      </c>
      <c r="AD16" s="35">
        <f>TabelaProcuras!C14</f>
        <v>383</v>
      </c>
      <c r="AE16" s="38">
        <f>TabelaProcuras!D14</f>
        <v>426</v>
      </c>
      <c r="AF16" s="51">
        <f t="shared" ca="1" si="13"/>
        <v>288.87600798860831</v>
      </c>
    </row>
    <row r="17" spans="4:32">
      <c r="D17" s="33">
        <f t="shared" si="1"/>
        <v>14</v>
      </c>
      <c r="E17" s="39">
        <f t="shared" ca="1" si="2"/>
        <v>3037</v>
      </c>
      <c r="F17" s="40">
        <f t="shared" ca="1" si="3"/>
        <v>2758.4276684515316</v>
      </c>
      <c r="G17" s="40">
        <f t="shared" ca="1" si="4"/>
        <v>2897.7138342257658</v>
      </c>
      <c r="H17" s="41">
        <f t="shared" ca="1" si="11"/>
        <v>278.57233154846836</v>
      </c>
      <c r="I17" s="40">
        <f t="shared" ca="1" si="5"/>
        <v>278.57233154846836</v>
      </c>
      <c r="J17" s="40">
        <f t="shared" ca="1" si="6"/>
        <v>0</v>
      </c>
      <c r="K17" s="40">
        <f t="shared" ca="1" si="7"/>
        <v>0</v>
      </c>
      <c r="L17" s="72">
        <v>0</v>
      </c>
      <c r="M17" s="40">
        <f t="shared" ca="1" si="8"/>
        <v>0</v>
      </c>
      <c r="N17" s="43">
        <f t="shared" ca="1" si="0"/>
        <v>0</v>
      </c>
      <c r="O17" s="43">
        <f t="shared" ca="1" si="9"/>
        <v>0</v>
      </c>
      <c r="P17" s="44">
        <f ca="1">'Atual-N.Encomenda'!G$9/50 * 'Atual-N.Encomenda'!G$11*G17</f>
        <v>999.71127280788926</v>
      </c>
      <c r="Q17" s="44">
        <f ca="1">J17*'Atual-N.Encomenda'!$G$10</f>
        <v>0</v>
      </c>
      <c r="R17" s="44">
        <f>L17*'Atual-N.Encomenda'!G$8</f>
        <v>0</v>
      </c>
      <c r="S17" s="86">
        <f t="shared" ca="1" si="10"/>
        <v>999.71127280788926</v>
      </c>
      <c r="AB17" s="33">
        <f t="shared" si="12"/>
        <v>14</v>
      </c>
      <c r="AC17" s="98">
        <f>TabelaProcuras!B15</f>
        <v>303</v>
      </c>
      <c r="AD17" s="35">
        <f>TabelaProcuras!C15</f>
        <v>349</v>
      </c>
      <c r="AE17" s="38">
        <f>TabelaProcuras!D15</f>
        <v>411</v>
      </c>
      <c r="AF17" s="51">
        <f t="shared" ca="1" si="13"/>
        <v>278.57233154846836</v>
      </c>
    </row>
    <row r="18" spans="4:32">
      <c r="D18" s="33">
        <f t="shared" si="1"/>
        <v>15</v>
      </c>
      <c r="E18" s="39">
        <f t="shared" ca="1" si="2"/>
        <v>2758.4276684515316</v>
      </c>
      <c r="F18" s="40">
        <f t="shared" ca="1" si="3"/>
        <v>2431.041514846157</v>
      </c>
      <c r="G18" s="40">
        <f t="shared" ca="1" si="4"/>
        <v>2594.7345916488443</v>
      </c>
      <c r="H18" s="41">
        <f t="shared" ca="1" si="11"/>
        <v>327.38615360537449</v>
      </c>
      <c r="I18" s="40">
        <f t="shared" ca="1" si="5"/>
        <v>327.38615360537449</v>
      </c>
      <c r="J18" s="40">
        <f t="shared" ca="1" si="6"/>
        <v>0</v>
      </c>
      <c r="K18" s="40">
        <f t="shared" ca="1" si="7"/>
        <v>0</v>
      </c>
      <c r="L18" s="72">
        <v>0</v>
      </c>
      <c r="M18" s="40">
        <f t="shared" ca="1" si="8"/>
        <v>0</v>
      </c>
      <c r="N18" s="43">
        <f t="shared" ca="1" si="0"/>
        <v>0</v>
      </c>
      <c r="O18" s="43">
        <f t="shared" ca="1" si="9"/>
        <v>0</v>
      </c>
      <c r="P18" s="44">
        <f ca="1">'Atual-N.Encomenda'!G$9/50 * 'Atual-N.Encomenda'!G$11*G18</f>
        <v>895.18343411885132</v>
      </c>
      <c r="Q18" s="44">
        <f ca="1">J18*'Atual-N.Encomenda'!$G$10</f>
        <v>0</v>
      </c>
      <c r="R18" s="44">
        <f>L18*'Atual-N.Encomenda'!G$8</f>
        <v>0</v>
      </c>
      <c r="S18" s="86">
        <f t="shared" ca="1" si="10"/>
        <v>895.18343411885132</v>
      </c>
      <c r="AB18" s="33">
        <f t="shared" si="12"/>
        <v>15</v>
      </c>
      <c r="AC18" s="98">
        <f>TabelaProcuras!B16</f>
        <v>281</v>
      </c>
      <c r="AD18" s="35">
        <f>TabelaProcuras!C16</f>
        <v>327</v>
      </c>
      <c r="AE18" s="38">
        <f>TabelaProcuras!D16</f>
        <v>400</v>
      </c>
      <c r="AF18" s="51">
        <f t="shared" ca="1" si="13"/>
        <v>327.38615360537449</v>
      </c>
    </row>
    <row r="19" spans="4:32">
      <c r="D19" s="33">
        <f t="shared" si="1"/>
        <v>16</v>
      </c>
      <c r="E19" s="39">
        <f t="shared" ca="1" si="2"/>
        <v>2431.041514846157</v>
      </c>
      <c r="F19" s="40">
        <f t="shared" ca="1" si="3"/>
        <v>2195.783695660205</v>
      </c>
      <c r="G19" s="40">
        <f t="shared" ca="1" si="4"/>
        <v>2313.412605253181</v>
      </c>
      <c r="H19" s="41">
        <f t="shared" ca="1" si="11"/>
        <v>235.25781918595186</v>
      </c>
      <c r="I19" s="40">
        <f t="shared" ca="1" si="5"/>
        <v>235.25781918595186</v>
      </c>
      <c r="J19" s="40">
        <f t="shared" ca="1" si="6"/>
        <v>0</v>
      </c>
      <c r="K19" s="40">
        <f t="shared" ca="1" si="7"/>
        <v>0</v>
      </c>
      <c r="L19" s="72">
        <v>0</v>
      </c>
      <c r="M19" s="40">
        <f t="shared" ca="1" si="8"/>
        <v>0</v>
      </c>
      <c r="N19" s="43">
        <f t="shared" ca="1" si="0"/>
        <v>0</v>
      </c>
      <c r="O19" s="43">
        <f t="shared" ca="1" si="9"/>
        <v>0</v>
      </c>
      <c r="P19" s="44">
        <f ca="1">'Atual-N.Encomenda'!G$9/50 * 'Atual-N.Encomenda'!G$11*G19</f>
        <v>798.12734881234758</v>
      </c>
      <c r="Q19" s="44">
        <f ca="1">J19*'Atual-N.Encomenda'!$G$10</f>
        <v>0</v>
      </c>
      <c r="R19" s="44">
        <f>L19*'Atual-N.Encomenda'!G$8</f>
        <v>0</v>
      </c>
      <c r="S19" s="86">
        <f t="shared" ca="1" si="10"/>
        <v>798.12734881234758</v>
      </c>
      <c r="AB19" s="33">
        <f t="shared" si="12"/>
        <v>16</v>
      </c>
      <c r="AC19" s="98">
        <f>TabelaProcuras!B17</f>
        <v>312</v>
      </c>
      <c r="AD19" s="35">
        <f>TabelaProcuras!C17</f>
        <v>375</v>
      </c>
      <c r="AE19" s="38">
        <f>TabelaProcuras!D17</f>
        <v>454</v>
      </c>
      <c r="AF19" s="51">
        <f t="shared" ca="1" si="13"/>
        <v>235.25781918595186</v>
      </c>
    </row>
    <row r="20" spans="4:32">
      <c r="D20" s="33">
        <f t="shared" si="1"/>
        <v>17</v>
      </c>
      <c r="E20" s="39">
        <f t="shared" ca="1" si="2"/>
        <v>2195.783695660205</v>
      </c>
      <c r="F20" s="40">
        <f t="shared" ca="1" si="3"/>
        <v>1801.6579789931959</v>
      </c>
      <c r="G20" s="40">
        <f t="shared" ca="1" si="4"/>
        <v>1998.7208373267003</v>
      </c>
      <c r="H20" s="41">
        <f t="shared" ca="1" si="11"/>
        <v>394.12571666700904</v>
      </c>
      <c r="I20" s="40">
        <f t="shared" ca="1" si="5"/>
        <v>394.12571666700904</v>
      </c>
      <c r="J20" s="40">
        <f t="shared" ca="1" si="6"/>
        <v>0</v>
      </c>
      <c r="K20" s="40">
        <f t="shared" ca="1" si="7"/>
        <v>0</v>
      </c>
      <c r="L20" s="42">
        <f ca="1">IF(AND(F20&lt;B$4,O19&lt;=1),1,0)</f>
        <v>1</v>
      </c>
      <c r="M20" s="40">
        <f t="shared" ca="1" si="8"/>
        <v>1235.3420210068041</v>
      </c>
      <c r="N20" s="43">
        <f t="shared" ca="1" si="0"/>
        <v>1</v>
      </c>
      <c r="O20" s="43">
        <f t="shared" ca="1" si="9"/>
        <v>1</v>
      </c>
      <c r="P20" s="44">
        <f ca="1">'Atual-N.Encomenda'!G$9/50 * 'Atual-N.Encomenda'!G$11*G20</f>
        <v>689.55868887771169</v>
      </c>
      <c r="Q20" s="44">
        <f ca="1">J20*'Atual-N.Encomenda'!$G$10</f>
        <v>0</v>
      </c>
      <c r="R20" s="44">
        <f ca="1">L20*'Atual-N.Encomenda'!G$8</f>
        <v>1500</v>
      </c>
      <c r="S20" s="86">
        <f t="shared" ca="1" si="10"/>
        <v>2189.5586888777116</v>
      </c>
      <c r="AB20" s="33">
        <f t="shared" si="12"/>
        <v>17</v>
      </c>
      <c r="AC20" s="98">
        <f>TabelaProcuras!B18</f>
        <v>306</v>
      </c>
      <c r="AD20" s="35">
        <f>TabelaProcuras!C18</f>
        <v>357</v>
      </c>
      <c r="AE20" s="38">
        <f>TabelaProcuras!D18</f>
        <v>443</v>
      </c>
      <c r="AF20" s="51">
        <f ca="1">_xlfn.NORM.INV(RAND(),AVERAGE(AC20:AE20),_xlfn.STDEV.S(AC20:AE20))</f>
        <v>394.12571666700904</v>
      </c>
    </row>
    <row r="21" spans="4:32">
      <c r="D21" s="33">
        <f t="shared" si="1"/>
        <v>18</v>
      </c>
      <c r="E21" s="39">
        <f t="shared" ca="1" si="2"/>
        <v>3037</v>
      </c>
      <c r="F21" s="40">
        <f t="shared" ca="1" si="3"/>
        <v>2732.1667119578119</v>
      </c>
      <c r="G21" s="40">
        <f t="shared" ca="1" si="4"/>
        <v>2884.5833559789062</v>
      </c>
      <c r="H21" s="41">
        <f t="shared" ca="1" si="11"/>
        <v>304.83328804218809</v>
      </c>
      <c r="I21" s="40">
        <f t="shared" ca="1" si="5"/>
        <v>304.83328804218809</v>
      </c>
      <c r="J21" s="40">
        <f t="shared" ca="1" si="6"/>
        <v>0</v>
      </c>
      <c r="K21" s="40">
        <f t="shared" ca="1" si="7"/>
        <v>0</v>
      </c>
      <c r="L21" s="72">
        <v>0</v>
      </c>
      <c r="M21" s="40">
        <f t="shared" ca="1" si="8"/>
        <v>0</v>
      </c>
      <c r="N21" s="43">
        <f t="shared" ca="1" si="0"/>
        <v>0</v>
      </c>
      <c r="O21" s="43">
        <f t="shared" ca="1" si="9"/>
        <v>0</v>
      </c>
      <c r="P21" s="44">
        <f ca="1">'Atual-N.Encomenda'!G$9/50 * 'Atual-N.Encomenda'!G$11*G21</f>
        <v>995.18125781272272</v>
      </c>
      <c r="Q21" s="44">
        <f ca="1">J21*'Atual-N.Encomenda'!$G$10</f>
        <v>0</v>
      </c>
      <c r="R21" s="44">
        <f>L21*'Atual-N.Encomenda'!G$8</f>
        <v>0</v>
      </c>
      <c r="S21" s="86">
        <f t="shared" ca="1" si="10"/>
        <v>995.18125781272272</v>
      </c>
      <c r="AB21" s="33">
        <f t="shared" si="12"/>
        <v>18</v>
      </c>
      <c r="AC21" s="98">
        <f>TabelaProcuras!B19</f>
        <v>317</v>
      </c>
      <c r="AD21" s="35">
        <f>TabelaProcuras!C19</f>
        <v>352</v>
      </c>
      <c r="AE21" s="38">
        <f>TabelaProcuras!D19</f>
        <v>421</v>
      </c>
      <c r="AF21" s="51">
        <f t="shared" ca="1" si="13"/>
        <v>304.83328804218809</v>
      </c>
    </row>
    <row r="22" spans="4:32">
      <c r="D22" s="33">
        <f t="shared" si="1"/>
        <v>19</v>
      </c>
      <c r="E22" s="39">
        <f t="shared" ca="1" si="2"/>
        <v>2732.1667119578119</v>
      </c>
      <c r="F22" s="40">
        <f t="shared" ca="1" si="3"/>
        <v>2479.3554366223411</v>
      </c>
      <c r="G22" s="40">
        <f t="shared" ca="1" si="4"/>
        <v>2605.7610742900765</v>
      </c>
      <c r="H22" s="41">
        <f t="shared" ca="1" si="11"/>
        <v>252.81127533547084</v>
      </c>
      <c r="I22" s="40">
        <f t="shared" ca="1" si="5"/>
        <v>252.81127533547084</v>
      </c>
      <c r="J22" s="40">
        <f t="shared" ca="1" si="6"/>
        <v>0</v>
      </c>
      <c r="K22" s="40">
        <f t="shared" ca="1" si="7"/>
        <v>0</v>
      </c>
      <c r="L22" s="72">
        <v>0</v>
      </c>
      <c r="M22" s="40">
        <f t="shared" ca="1" si="8"/>
        <v>0</v>
      </c>
      <c r="N22" s="43">
        <f t="shared" ca="1" si="0"/>
        <v>0</v>
      </c>
      <c r="O22" s="43">
        <f t="shared" ca="1" si="9"/>
        <v>0</v>
      </c>
      <c r="P22" s="44">
        <f ca="1">'Atual-N.Encomenda'!G$9/50 * 'Atual-N.Encomenda'!G$11*G22</f>
        <v>898.98757063007645</v>
      </c>
      <c r="Q22" s="44">
        <f ca="1">J22*'Atual-N.Encomenda'!$G$10</f>
        <v>0</v>
      </c>
      <c r="R22" s="44">
        <f>L22*'Atual-N.Encomenda'!G$8</f>
        <v>0</v>
      </c>
      <c r="S22" s="86">
        <f t="shared" ca="1" si="10"/>
        <v>898.98757063007645</v>
      </c>
      <c r="AB22" s="33">
        <f t="shared" si="12"/>
        <v>19</v>
      </c>
      <c r="AC22" s="98">
        <f>TabelaProcuras!B20</f>
        <v>307</v>
      </c>
      <c r="AD22" s="35">
        <f>TabelaProcuras!C20</f>
        <v>363</v>
      </c>
      <c r="AE22" s="38">
        <f>TabelaProcuras!D20</f>
        <v>434</v>
      </c>
      <c r="AF22" s="51">
        <f t="shared" ca="1" si="13"/>
        <v>252.81127533547084</v>
      </c>
    </row>
    <row r="23" spans="4:32">
      <c r="D23" s="33">
        <f t="shared" si="1"/>
        <v>20</v>
      </c>
      <c r="E23" s="39">
        <f t="shared" ca="1" si="2"/>
        <v>2479.3554366223411</v>
      </c>
      <c r="F23" s="40">
        <f t="shared" ca="1" si="3"/>
        <v>2296.33745927259</v>
      </c>
      <c r="G23" s="40">
        <f t="shared" ca="1" si="4"/>
        <v>2387.8464479474655</v>
      </c>
      <c r="H23" s="41">
        <f t="shared" ca="1" si="11"/>
        <v>183.01797734975099</v>
      </c>
      <c r="I23" s="40">
        <f t="shared" ca="1" si="5"/>
        <v>183.01797734975099</v>
      </c>
      <c r="J23" s="40">
        <f t="shared" ca="1" si="6"/>
        <v>0</v>
      </c>
      <c r="K23" s="40">
        <f t="shared" ca="1" si="7"/>
        <v>0</v>
      </c>
      <c r="L23" s="72">
        <v>0</v>
      </c>
      <c r="M23" s="40">
        <f t="shared" ca="1" si="8"/>
        <v>0</v>
      </c>
      <c r="N23" s="43">
        <f t="shared" ca="1" si="0"/>
        <v>0</v>
      </c>
      <c r="O23" s="43">
        <f t="shared" ca="1" si="9"/>
        <v>0</v>
      </c>
      <c r="P23" s="44">
        <f ca="1">'Atual-N.Encomenda'!G$9/50 * 'Atual-N.Encomenda'!G$11*G23</f>
        <v>823.80702454187565</v>
      </c>
      <c r="Q23" s="44">
        <f ca="1">J23*'Atual-N.Encomenda'!$G$10</f>
        <v>0</v>
      </c>
      <c r="R23" s="44">
        <f>L23*'Atual-N.Encomenda'!G$8</f>
        <v>0</v>
      </c>
      <c r="S23" s="86">
        <f t="shared" ca="1" si="10"/>
        <v>823.80702454187565</v>
      </c>
      <c r="AB23" s="33">
        <f t="shared" si="12"/>
        <v>20</v>
      </c>
      <c r="AC23" s="98">
        <f>TabelaProcuras!B21</f>
        <v>291</v>
      </c>
      <c r="AD23" s="35">
        <f>TabelaProcuras!C21</f>
        <v>359</v>
      </c>
      <c r="AE23" s="38">
        <f>TabelaProcuras!D21</f>
        <v>460</v>
      </c>
      <c r="AF23" s="51">
        <f t="shared" ca="1" si="13"/>
        <v>183.01797734975099</v>
      </c>
    </row>
    <row r="24" spans="4:32">
      <c r="D24" s="33">
        <f t="shared" si="1"/>
        <v>21</v>
      </c>
      <c r="E24" s="39">
        <f t="shared" ca="1" si="2"/>
        <v>2296.33745927259</v>
      </c>
      <c r="F24" s="40">
        <f t="shared" ca="1" si="3"/>
        <v>1946.2955670228171</v>
      </c>
      <c r="G24" s="40">
        <f t="shared" ca="1" si="4"/>
        <v>2121.3165131477035</v>
      </c>
      <c r="H24" s="41">
        <f t="shared" ca="1" si="11"/>
        <v>350.04189224977301</v>
      </c>
      <c r="I24" s="40">
        <f t="shared" ca="1" si="5"/>
        <v>350.04189224977301</v>
      </c>
      <c r="J24" s="40">
        <f t="shared" ca="1" si="6"/>
        <v>0</v>
      </c>
      <c r="K24" s="40">
        <f t="shared" ca="1" si="7"/>
        <v>0</v>
      </c>
      <c r="L24" s="42">
        <f ca="1">IF(AND(F24&lt;B$4,O23&lt;=1),1,0)</f>
        <v>1</v>
      </c>
      <c r="M24" s="40">
        <f t="shared" ca="1" si="8"/>
        <v>1090.7044329771829</v>
      </c>
      <c r="N24" s="43">
        <f t="shared" ca="1" si="0"/>
        <v>1</v>
      </c>
      <c r="O24" s="43">
        <f t="shared" ca="1" si="9"/>
        <v>1</v>
      </c>
      <c r="P24" s="44">
        <f ca="1">'Atual-N.Encomenda'!G$9/50 * 'Atual-N.Encomenda'!G$11*G24</f>
        <v>731.85419703595778</v>
      </c>
      <c r="Q24" s="44">
        <f ca="1">J24*'Atual-N.Encomenda'!$G$10</f>
        <v>0</v>
      </c>
      <c r="R24" s="44">
        <f ca="1">L24*'Atual-N.Encomenda'!G$8</f>
        <v>1500</v>
      </c>
      <c r="S24" s="86">
        <f t="shared" ca="1" si="10"/>
        <v>2231.8541970359579</v>
      </c>
      <c r="AB24" s="33">
        <f t="shared" si="12"/>
        <v>21</v>
      </c>
      <c r="AC24" s="98">
        <f>TabelaProcuras!B22</f>
        <v>331</v>
      </c>
      <c r="AD24" s="35">
        <f>TabelaProcuras!C22</f>
        <v>380</v>
      </c>
      <c r="AE24" s="38">
        <f>TabelaProcuras!D22</f>
        <v>406</v>
      </c>
      <c r="AF24" s="51">
        <f t="shared" ca="1" si="13"/>
        <v>350.04189224977301</v>
      </c>
    </row>
    <row r="25" spans="4:32">
      <c r="D25" s="33">
        <f t="shared" si="1"/>
        <v>22</v>
      </c>
      <c r="E25" s="39">
        <f t="shared" ca="1" si="2"/>
        <v>3037</v>
      </c>
      <c r="F25" s="40">
        <f t="shared" ca="1" si="3"/>
        <v>2610.2658089157467</v>
      </c>
      <c r="G25" s="40">
        <f t="shared" ca="1" si="4"/>
        <v>2823.6329044578733</v>
      </c>
      <c r="H25" s="41">
        <f t="shared" ca="1" si="11"/>
        <v>426.73419108425344</v>
      </c>
      <c r="I25" s="40">
        <f t="shared" ca="1" si="5"/>
        <v>426.73419108425344</v>
      </c>
      <c r="J25" s="40">
        <f t="shared" ca="1" si="6"/>
        <v>0</v>
      </c>
      <c r="K25" s="40">
        <f t="shared" ca="1" si="7"/>
        <v>0</v>
      </c>
      <c r="L25" s="72">
        <v>0</v>
      </c>
      <c r="M25" s="40">
        <f t="shared" ca="1" si="8"/>
        <v>0</v>
      </c>
      <c r="N25" s="43">
        <f t="shared" ca="1" si="0"/>
        <v>0</v>
      </c>
      <c r="O25" s="43">
        <f t="shared" ca="1" si="9"/>
        <v>0</v>
      </c>
      <c r="P25" s="44">
        <f ca="1">'Atual-N.Encomenda'!G$9/50 * 'Atual-N.Encomenda'!G$11*G25</f>
        <v>974.15335203796633</v>
      </c>
      <c r="Q25" s="44">
        <f ca="1">J25*'Atual-N.Encomenda'!$G$10</f>
        <v>0</v>
      </c>
      <c r="R25" s="44">
        <f>L25*'Atual-N.Encomenda'!G$8</f>
        <v>0</v>
      </c>
      <c r="S25" s="86">
        <f t="shared" ca="1" si="10"/>
        <v>974.15335203796633</v>
      </c>
      <c r="AB25" s="33">
        <f t="shared" si="12"/>
        <v>22</v>
      </c>
      <c r="AC25" s="98">
        <f>TabelaProcuras!B23</f>
        <v>307</v>
      </c>
      <c r="AD25" s="35">
        <f>TabelaProcuras!C23</f>
        <v>338</v>
      </c>
      <c r="AE25" s="38">
        <f>TabelaProcuras!D23</f>
        <v>403</v>
      </c>
      <c r="AF25" s="51">
        <f t="shared" ca="1" si="13"/>
        <v>426.73419108425344</v>
      </c>
    </row>
    <row r="26" spans="4:32">
      <c r="D26" s="33">
        <f t="shared" si="1"/>
        <v>23</v>
      </c>
      <c r="E26" s="39">
        <f t="shared" ca="1" si="2"/>
        <v>2610.2658089157467</v>
      </c>
      <c r="F26" s="40">
        <f t="shared" ca="1" si="3"/>
        <v>2151.0104648072852</v>
      </c>
      <c r="G26" s="40">
        <f t="shared" ca="1" si="4"/>
        <v>2380.6381368615157</v>
      </c>
      <c r="H26" s="41">
        <f t="shared" ca="1" si="11"/>
        <v>459.25534410846154</v>
      </c>
      <c r="I26" s="40">
        <f t="shared" ca="1" si="5"/>
        <v>459.25534410846154</v>
      </c>
      <c r="J26" s="40">
        <f t="shared" ca="1" si="6"/>
        <v>0</v>
      </c>
      <c r="K26" s="40">
        <f t="shared" ca="1" si="7"/>
        <v>0</v>
      </c>
      <c r="L26" s="72">
        <v>0</v>
      </c>
      <c r="M26" s="40">
        <f t="shared" ca="1" si="8"/>
        <v>0</v>
      </c>
      <c r="N26" s="43">
        <f t="shared" ca="1" si="0"/>
        <v>0</v>
      </c>
      <c r="O26" s="43">
        <f t="shared" ca="1" si="9"/>
        <v>0</v>
      </c>
      <c r="P26" s="44">
        <f ca="1">'Atual-N.Encomenda'!G$9/50 * 'Atual-N.Encomenda'!G$11*G26</f>
        <v>821.32015721722303</v>
      </c>
      <c r="Q26" s="44">
        <f ca="1">J26*'Atual-N.Encomenda'!$G$10</f>
        <v>0</v>
      </c>
      <c r="R26" s="44">
        <f>L26*'Atual-N.Encomenda'!G$8</f>
        <v>0</v>
      </c>
      <c r="S26" s="86">
        <f t="shared" ca="1" si="10"/>
        <v>821.32015721722303</v>
      </c>
      <c r="AB26" s="33">
        <f t="shared" si="12"/>
        <v>23</v>
      </c>
      <c r="AC26" s="98">
        <f>TabelaProcuras!B24</f>
        <v>436</v>
      </c>
      <c r="AD26" s="35">
        <f>TabelaProcuras!C24</f>
        <v>507</v>
      </c>
      <c r="AE26" s="38">
        <f>TabelaProcuras!D24</f>
        <v>610</v>
      </c>
      <c r="AF26" s="51">
        <f t="shared" ca="1" si="13"/>
        <v>459.25534410846154</v>
      </c>
    </row>
    <row r="27" spans="4:32">
      <c r="D27" s="33">
        <f t="shared" si="1"/>
        <v>24</v>
      </c>
      <c r="E27" s="39">
        <f t="shared" ca="1" si="2"/>
        <v>2151.0104648072852</v>
      </c>
      <c r="F27" s="40">
        <f t="shared" ca="1" si="3"/>
        <v>1656.9869864701891</v>
      </c>
      <c r="G27" s="40">
        <f t="shared" ca="1" si="4"/>
        <v>1903.9987256387371</v>
      </c>
      <c r="H27" s="41">
        <f t="shared" ca="1" si="11"/>
        <v>494.02347833709609</v>
      </c>
      <c r="I27" s="40">
        <f t="shared" ca="1" si="5"/>
        <v>494.02347833709609</v>
      </c>
      <c r="J27" s="40">
        <f t="shared" ca="1" si="6"/>
        <v>0</v>
      </c>
      <c r="K27" s="40">
        <f t="shared" ca="1" si="7"/>
        <v>0</v>
      </c>
      <c r="L27" s="72">
        <v>0</v>
      </c>
      <c r="M27" s="40">
        <f t="shared" ca="1" si="8"/>
        <v>0</v>
      </c>
      <c r="N27" s="43">
        <f t="shared" ca="1" si="0"/>
        <v>0</v>
      </c>
      <c r="O27" s="43">
        <f t="shared" ca="1" si="9"/>
        <v>0</v>
      </c>
      <c r="P27" s="44">
        <f ca="1">'Atual-N.Encomenda'!G$9/50 * 'Atual-N.Encomenda'!G$11*G27</f>
        <v>656.87956034536433</v>
      </c>
      <c r="Q27" s="44">
        <f ca="1">J27*'Atual-N.Encomenda'!$G$10</f>
        <v>0</v>
      </c>
      <c r="R27" s="44">
        <f>L27*'Atual-N.Encomenda'!G$8</f>
        <v>0</v>
      </c>
      <c r="S27" s="86">
        <f t="shared" ca="1" si="10"/>
        <v>656.87956034536433</v>
      </c>
      <c r="AB27" s="33">
        <f t="shared" si="12"/>
        <v>24</v>
      </c>
      <c r="AC27" s="98">
        <f>TabelaProcuras!B25</f>
        <v>442</v>
      </c>
      <c r="AD27" s="35">
        <f>TabelaProcuras!C25</f>
        <v>494</v>
      </c>
      <c r="AE27" s="38">
        <f>TabelaProcuras!D25</f>
        <v>606</v>
      </c>
      <c r="AF27" s="51">
        <f t="shared" ca="1" si="13"/>
        <v>494.02347833709609</v>
      </c>
    </row>
    <row r="28" spans="4:32">
      <c r="D28" s="33">
        <f t="shared" si="1"/>
        <v>25</v>
      </c>
      <c r="E28" s="39">
        <f t="shared" ca="1" si="2"/>
        <v>1656.9869864701891</v>
      </c>
      <c r="F28" s="40">
        <f t="shared" ca="1" si="3"/>
        <v>1132.9270712683087</v>
      </c>
      <c r="G28" s="40">
        <f t="shared" ca="1" si="4"/>
        <v>1394.9570288692489</v>
      </c>
      <c r="H28" s="41">
        <f t="shared" ca="1" si="11"/>
        <v>524.05991520188024</v>
      </c>
      <c r="I28" s="40">
        <f t="shared" ca="1" si="5"/>
        <v>524.05991520188024</v>
      </c>
      <c r="J28" s="40">
        <f t="shared" ca="1" si="6"/>
        <v>0</v>
      </c>
      <c r="K28" s="40">
        <f t="shared" ca="1" si="7"/>
        <v>0</v>
      </c>
      <c r="L28" s="42">
        <f ca="1">IF(AND(F28&lt;B$4,O27&lt;=1),1,0)</f>
        <v>1</v>
      </c>
      <c r="M28" s="40">
        <f t="shared" ca="1" si="8"/>
        <v>1904.0729287316913</v>
      </c>
      <c r="N28" s="43">
        <f t="shared" ca="1" si="0"/>
        <v>2</v>
      </c>
      <c r="O28" s="43">
        <f t="shared" ca="1" si="9"/>
        <v>2</v>
      </c>
      <c r="P28" s="44">
        <f ca="1">'Atual-N.Encomenda'!G$9/50 * 'Atual-N.Encomenda'!G$11*G28</f>
        <v>481.26017495989089</v>
      </c>
      <c r="Q28" s="44">
        <f ca="1">J28*'Atual-N.Encomenda'!$G$10</f>
        <v>0</v>
      </c>
      <c r="R28" s="44">
        <f ca="1">L28*'Atual-N.Encomenda'!G$8</f>
        <v>1500</v>
      </c>
      <c r="S28" s="86">
        <f t="shared" ca="1" si="10"/>
        <v>1981.2601749598909</v>
      </c>
      <c r="AB28" s="33">
        <f t="shared" si="12"/>
        <v>25</v>
      </c>
      <c r="AC28" s="98">
        <f>TabelaProcuras!B26</f>
        <v>449</v>
      </c>
      <c r="AD28" s="35">
        <f>TabelaProcuras!C26</f>
        <v>509</v>
      </c>
      <c r="AE28" s="38">
        <f>TabelaProcuras!D26</f>
        <v>605</v>
      </c>
      <c r="AF28" s="51">
        <f t="shared" ca="1" si="13"/>
        <v>524.05991520188024</v>
      </c>
    </row>
    <row r="29" spans="4:32">
      <c r="D29" s="33">
        <f t="shared" si="1"/>
        <v>26</v>
      </c>
      <c r="E29" s="39">
        <f t="shared" ca="1" si="2"/>
        <v>1132.9270712683087</v>
      </c>
      <c r="F29" s="40">
        <f t="shared" ca="1" si="3"/>
        <v>655.03278274311504</v>
      </c>
      <c r="G29" s="40">
        <f t="shared" ca="1" si="4"/>
        <v>893.97992700571194</v>
      </c>
      <c r="H29" s="41">
        <f t="shared" ca="1" si="11"/>
        <v>477.8942885251937</v>
      </c>
      <c r="I29" s="40">
        <f t="shared" ca="1" si="5"/>
        <v>477.8942885251937</v>
      </c>
      <c r="J29" s="40">
        <f t="shared" ca="1" si="6"/>
        <v>0</v>
      </c>
      <c r="K29" s="40">
        <f t="shared" ca="1" si="7"/>
        <v>0</v>
      </c>
      <c r="L29" s="72">
        <v>0</v>
      </c>
      <c r="M29" s="40">
        <f t="shared" ca="1" si="8"/>
        <v>1904.0729287316913</v>
      </c>
      <c r="N29" s="43">
        <f t="shared" ca="1" si="0"/>
        <v>0</v>
      </c>
      <c r="O29" s="43">
        <f t="shared" ca="1" si="9"/>
        <v>1</v>
      </c>
      <c r="P29" s="44">
        <f ca="1">'Atual-N.Encomenda'!G$9/50 * 'Atual-N.Encomenda'!G$11*G29</f>
        <v>308.42307481697065</v>
      </c>
      <c r="Q29" s="44">
        <f ca="1">J29*'Atual-N.Encomenda'!$G$10</f>
        <v>0</v>
      </c>
      <c r="R29" s="44">
        <f>L29*'Atual-N.Encomenda'!G$8</f>
        <v>0</v>
      </c>
      <c r="S29" s="86">
        <f t="shared" ca="1" si="10"/>
        <v>308.42307481697065</v>
      </c>
      <c r="AB29" s="33">
        <f t="shared" si="12"/>
        <v>26</v>
      </c>
      <c r="AC29" s="98">
        <f>TabelaProcuras!B27</f>
        <v>436</v>
      </c>
      <c r="AD29" s="35">
        <f>TabelaProcuras!C27</f>
        <v>525</v>
      </c>
      <c r="AE29" s="38">
        <f>TabelaProcuras!D27</f>
        <v>598</v>
      </c>
      <c r="AF29" s="51">
        <f t="shared" ca="1" si="13"/>
        <v>477.8942885251937</v>
      </c>
    </row>
    <row r="30" spans="4:32">
      <c r="D30" s="33">
        <f t="shared" si="1"/>
        <v>27</v>
      </c>
      <c r="E30" s="39">
        <f t="shared" ca="1" si="2"/>
        <v>2559.1057114748064</v>
      </c>
      <c r="F30" s="40">
        <f t="shared" ca="1" si="3"/>
        <v>2033.7305240435517</v>
      </c>
      <c r="G30" s="40">
        <f t="shared" ca="1" si="4"/>
        <v>2296.418117759179</v>
      </c>
      <c r="H30" s="41">
        <f t="shared" ca="1" si="11"/>
        <v>525.37518743125486</v>
      </c>
      <c r="I30" s="40">
        <f t="shared" ca="1" si="5"/>
        <v>525.37518743125486</v>
      </c>
      <c r="J30" s="40">
        <f t="shared" ca="1" si="6"/>
        <v>0</v>
      </c>
      <c r="K30" s="40">
        <f t="shared" ca="1" si="7"/>
        <v>0</v>
      </c>
      <c r="L30" s="72">
        <v>0</v>
      </c>
      <c r="M30" s="40">
        <f t="shared" ca="1" si="8"/>
        <v>0</v>
      </c>
      <c r="N30" s="43">
        <f t="shared" ca="1" si="0"/>
        <v>0</v>
      </c>
      <c r="O30" s="43">
        <f t="shared" ca="1" si="9"/>
        <v>0</v>
      </c>
      <c r="P30" s="44">
        <f ca="1">'Atual-N.Encomenda'!G$9/50 * 'Atual-N.Encomenda'!G$11*G30</f>
        <v>792.26425062691681</v>
      </c>
      <c r="Q30" s="44">
        <f ca="1">J30*'Atual-N.Encomenda'!$G$10</f>
        <v>0</v>
      </c>
      <c r="R30" s="44">
        <f>L30*'Atual-N.Encomenda'!G$8</f>
        <v>0</v>
      </c>
      <c r="S30" s="86">
        <f t="shared" ca="1" si="10"/>
        <v>792.26425062691681</v>
      </c>
      <c r="AB30" s="33">
        <f t="shared" si="12"/>
        <v>27</v>
      </c>
      <c r="AC30" s="98">
        <f>TabelaProcuras!B28</f>
        <v>467</v>
      </c>
      <c r="AD30" s="35">
        <f>TabelaProcuras!C28</f>
        <v>522</v>
      </c>
      <c r="AE30" s="38">
        <f>TabelaProcuras!D28</f>
        <v>604</v>
      </c>
      <c r="AF30" s="51">
        <f t="shared" ca="1" si="13"/>
        <v>525.37518743125486</v>
      </c>
    </row>
    <row r="31" spans="4:32">
      <c r="D31" s="33">
        <f t="shared" si="1"/>
        <v>28</v>
      </c>
      <c r="E31" s="39">
        <f t="shared" ca="1" si="2"/>
        <v>2033.7305240435517</v>
      </c>
      <c r="F31" s="40">
        <f t="shared" ca="1" si="3"/>
        <v>1569.1885101791718</v>
      </c>
      <c r="G31" s="40">
        <f t="shared" ca="1" si="4"/>
        <v>1801.4595171113617</v>
      </c>
      <c r="H31" s="41">
        <f t="shared" ca="1" si="11"/>
        <v>464.54201386437984</v>
      </c>
      <c r="I31" s="40">
        <f t="shared" ca="1" si="5"/>
        <v>464.54201386437984</v>
      </c>
      <c r="J31" s="40">
        <f t="shared" ca="1" si="6"/>
        <v>0</v>
      </c>
      <c r="K31" s="40">
        <f t="shared" ca="1" si="7"/>
        <v>0</v>
      </c>
      <c r="L31" s="72">
        <v>0</v>
      </c>
      <c r="M31" s="40">
        <f t="shared" ca="1" si="8"/>
        <v>0</v>
      </c>
      <c r="N31" s="43">
        <f t="shared" ca="1" si="0"/>
        <v>0</v>
      </c>
      <c r="O31" s="43">
        <f t="shared" ca="1" si="9"/>
        <v>0</v>
      </c>
      <c r="P31" s="44">
        <f ca="1">'Atual-N.Encomenda'!G$9/50 * 'Atual-N.Encomenda'!G$11*G31</f>
        <v>621.50353340341985</v>
      </c>
      <c r="Q31" s="44">
        <f ca="1">J31*'Atual-N.Encomenda'!$G$10</f>
        <v>0</v>
      </c>
      <c r="R31" s="44">
        <f>L31*'Atual-N.Encomenda'!G$8</f>
        <v>0</v>
      </c>
      <c r="S31" s="86">
        <f t="shared" ca="1" si="10"/>
        <v>621.50353340341985</v>
      </c>
      <c r="AB31" s="33">
        <f t="shared" si="12"/>
        <v>28</v>
      </c>
      <c r="AC31" s="98">
        <f>TabelaProcuras!B29</f>
        <v>440</v>
      </c>
      <c r="AD31" s="35">
        <f>TabelaProcuras!C29</f>
        <v>530</v>
      </c>
      <c r="AE31" s="38">
        <f>TabelaProcuras!D29</f>
        <v>589</v>
      </c>
      <c r="AF31" s="51">
        <f t="shared" ca="1" si="13"/>
        <v>464.54201386437984</v>
      </c>
    </row>
    <row r="32" spans="4:32">
      <c r="D32" s="33">
        <f t="shared" si="1"/>
        <v>29</v>
      </c>
      <c r="E32" s="39">
        <f t="shared" ca="1" si="2"/>
        <v>1569.1885101791718</v>
      </c>
      <c r="F32" s="40">
        <f t="shared" ca="1" si="3"/>
        <v>1083.1959007269859</v>
      </c>
      <c r="G32" s="40">
        <f t="shared" ca="1" si="4"/>
        <v>1326.1922054530787</v>
      </c>
      <c r="H32" s="41">
        <f t="shared" ca="1" si="11"/>
        <v>485.99260945218583</v>
      </c>
      <c r="I32" s="40">
        <f t="shared" ca="1" si="5"/>
        <v>485.99260945218583</v>
      </c>
      <c r="J32" s="40">
        <f t="shared" ca="1" si="6"/>
        <v>0</v>
      </c>
      <c r="K32" s="40">
        <f t="shared" ca="1" si="7"/>
        <v>0</v>
      </c>
      <c r="L32" s="42">
        <f ca="1">IF(AND(F32&lt;B$4,O31&lt;=1),1,0)</f>
        <v>1</v>
      </c>
      <c r="M32" s="40">
        <f t="shared" ca="1" si="8"/>
        <v>1953.8040992730141</v>
      </c>
      <c r="N32" s="43">
        <f t="shared" ca="1" si="0"/>
        <v>3</v>
      </c>
      <c r="O32" s="43">
        <f t="shared" ca="1" si="9"/>
        <v>3</v>
      </c>
      <c r="P32" s="44">
        <f ca="1">'Atual-N.Encomenda'!G$9/50 * 'Atual-N.Encomenda'!G$11*G32</f>
        <v>457.5363108813122</v>
      </c>
      <c r="Q32" s="44">
        <f ca="1">J32*'Atual-N.Encomenda'!$G$10</f>
        <v>0</v>
      </c>
      <c r="R32" s="44">
        <f ca="1">L32*'Atual-N.Encomenda'!G$8</f>
        <v>1500</v>
      </c>
      <c r="S32" s="86">
        <f t="shared" ca="1" si="10"/>
        <v>1957.5363108813121</v>
      </c>
      <c r="AB32" s="33">
        <f t="shared" si="12"/>
        <v>29</v>
      </c>
      <c r="AC32" s="98">
        <f>TabelaProcuras!B30</f>
        <v>455</v>
      </c>
      <c r="AD32" s="35">
        <f>TabelaProcuras!C30</f>
        <v>491</v>
      </c>
      <c r="AE32" s="38">
        <f>TabelaProcuras!D30</f>
        <v>636</v>
      </c>
      <c r="AF32" s="51">
        <f ca="1">_xlfn.NORM.INV(RAND(),AVERAGE(AC32:AE32),_xlfn.STDEV.S(AC32:AE32))</f>
        <v>485.99260945218583</v>
      </c>
    </row>
    <row r="33" spans="4:32">
      <c r="D33" s="33">
        <f t="shared" si="1"/>
        <v>30</v>
      </c>
      <c r="E33" s="39">
        <f t="shared" ca="1" si="2"/>
        <v>1083.1959007269859</v>
      </c>
      <c r="F33" s="40">
        <f t="shared" ca="1" si="3"/>
        <v>460.76204521856744</v>
      </c>
      <c r="G33" s="40">
        <f t="shared" ca="1" si="4"/>
        <v>771.97897297277666</v>
      </c>
      <c r="H33" s="41">
        <f t="shared" ca="1" si="11"/>
        <v>622.43385550841845</v>
      </c>
      <c r="I33" s="40">
        <f t="shared" ca="1" si="5"/>
        <v>622.43385550841845</v>
      </c>
      <c r="J33" s="40">
        <f t="shared" ca="1" si="6"/>
        <v>0</v>
      </c>
      <c r="K33" s="40">
        <f t="shared" ca="1" si="7"/>
        <v>0</v>
      </c>
      <c r="L33" s="72">
        <v>0</v>
      </c>
      <c r="M33" s="40">
        <f t="shared" ca="1" si="8"/>
        <v>1953.8040992730141</v>
      </c>
      <c r="N33" s="43">
        <f t="shared" ca="1" si="0"/>
        <v>0</v>
      </c>
      <c r="O33" s="43">
        <f t="shared" ca="1" si="9"/>
        <v>2</v>
      </c>
      <c r="P33" s="44">
        <f ca="1">'Atual-N.Encomenda'!G$9/50 * 'Atual-N.Encomenda'!G$11*G33</f>
        <v>266.33274567560795</v>
      </c>
      <c r="Q33" s="44">
        <f ca="1">J33*'Atual-N.Encomenda'!$G$10</f>
        <v>0</v>
      </c>
      <c r="R33" s="44">
        <f>L33*'Atual-N.Encomenda'!G$8</f>
        <v>0</v>
      </c>
      <c r="S33" s="86">
        <f t="shared" ca="1" si="10"/>
        <v>266.33274567560795</v>
      </c>
      <c r="AB33" s="33">
        <f t="shared" si="12"/>
        <v>30</v>
      </c>
      <c r="AC33" s="98">
        <f>TabelaProcuras!B31</f>
        <v>457</v>
      </c>
      <c r="AD33" s="35">
        <f>TabelaProcuras!C31</f>
        <v>538</v>
      </c>
      <c r="AE33" s="38">
        <f>TabelaProcuras!D31</f>
        <v>592</v>
      </c>
      <c r="AF33" s="51">
        <f t="shared" ca="1" si="13"/>
        <v>622.43385550841845</v>
      </c>
    </row>
    <row r="34" spans="4:32">
      <c r="D34" s="33">
        <f t="shared" si="1"/>
        <v>31</v>
      </c>
      <c r="E34" s="39">
        <f t="shared" ca="1" si="2"/>
        <v>460.76204521856744</v>
      </c>
      <c r="F34" s="40">
        <f t="shared" ca="1" si="3"/>
        <v>0</v>
      </c>
      <c r="G34" s="40">
        <f t="shared" ca="1" si="4"/>
        <v>230.38102260928372</v>
      </c>
      <c r="H34" s="41">
        <f t="shared" ca="1" si="11"/>
        <v>761.35917615265987</v>
      </c>
      <c r="I34" s="40">
        <f t="shared" ca="1" si="5"/>
        <v>460.76204521856744</v>
      </c>
      <c r="J34" s="40">
        <f t="shared" ca="1" si="6"/>
        <v>300.59713093409243</v>
      </c>
      <c r="K34" s="40">
        <f t="shared" ca="1" si="7"/>
        <v>1</v>
      </c>
      <c r="L34" s="72">
        <v>0</v>
      </c>
      <c r="M34" s="40">
        <f t="shared" ca="1" si="8"/>
        <v>1953.8040992730141</v>
      </c>
      <c r="N34" s="43">
        <f t="shared" ca="1" si="0"/>
        <v>0</v>
      </c>
      <c r="O34" s="43">
        <f t="shared" ca="1" si="9"/>
        <v>1</v>
      </c>
      <c r="P34" s="44">
        <f ca="1">'Atual-N.Encomenda'!G$9/50 * 'Atual-N.Encomenda'!G$11*G34</f>
        <v>79.481452800202888</v>
      </c>
      <c r="Q34" s="44">
        <f ca="1">J34*'Atual-N.Encomenda'!$G$10</f>
        <v>11422.690975495512</v>
      </c>
      <c r="R34" s="44">
        <f>L34*'Atual-N.Encomenda'!G$8</f>
        <v>0</v>
      </c>
      <c r="S34" s="86">
        <f t="shared" ca="1" si="10"/>
        <v>11502.172428295715</v>
      </c>
      <c r="AB34" s="33">
        <f t="shared" si="12"/>
        <v>31</v>
      </c>
      <c r="AC34" s="98">
        <f>TabelaProcuras!B32</f>
        <v>435</v>
      </c>
      <c r="AD34" s="35">
        <f>TabelaProcuras!C32</f>
        <v>473</v>
      </c>
      <c r="AE34" s="38">
        <f>TabelaProcuras!D32</f>
        <v>630</v>
      </c>
      <c r="AF34" s="51">
        <f t="shared" ca="1" si="13"/>
        <v>761.35917615265987</v>
      </c>
    </row>
    <row r="35" spans="4:32">
      <c r="D35" s="33">
        <f t="shared" si="1"/>
        <v>32</v>
      </c>
      <c r="E35" s="39">
        <f t="shared" ca="1" si="2"/>
        <v>1953.8040992730141</v>
      </c>
      <c r="F35" s="40">
        <f t="shared" ca="1" si="3"/>
        <v>1210.5292384987611</v>
      </c>
      <c r="G35" s="40">
        <f t="shared" ca="1" si="4"/>
        <v>1582.1666688858877</v>
      </c>
      <c r="H35" s="41">
        <f t="shared" ca="1" si="11"/>
        <v>743.27486077425317</v>
      </c>
      <c r="I35" s="40">
        <f t="shared" ca="1" si="5"/>
        <v>743.27486077425317</v>
      </c>
      <c r="J35" s="40">
        <f t="shared" ca="1" si="6"/>
        <v>0</v>
      </c>
      <c r="K35" s="40">
        <f t="shared" ca="1" si="7"/>
        <v>0</v>
      </c>
      <c r="L35" s="72">
        <v>0</v>
      </c>
      <c r="M35" s="40">
        <f t="shared" ca="1" si="8"/>
        <v>0</v>
      </c>
      <c r="N35" s="43">
        <f t="shared" ca="1" si="0"/>
        <v>0</v>
      </c>
      <c r="O35" s="43">
        <f t="shared" ca="1" si="9"/>
        <v>0</v>
      </c>
      <c r="P35" s="44">
        <f ca="1">'Atual-N.Encomenda'!G$9/50 * 'Atual-N.Encomenda'!G$11*G35</f>
        <v>545.84750076563125</v>
      </c>
      <c r="Q35" s="44">
        <f ca="1">J35*'Atual-N.Encomenda'!$G$10</f>
        <v>0</v>
      </c>
      <c r="R35" s="44">
        <f>L35*'Atual-N.Encomenda'!G$8</f>
        <v>0</v>
      </c>
      <c r="S35" s="86">
        <f t="shared" ca="1" si="10"/>
        <v>545.84750076563125</v>
      </c>
      <c r="AB35" s="33">
        <f t="shared" si="12"/>
        <v>32</v>
      </c>
      <c r="AC35" s="98">
        <f>TabelaProcuras!B33</f>
        <v>445</v>
      </c>
      <c r="AD35" s="35">
        <f>TabelaProcuras!C33</f>
        <v>530</v>
      </c>
      <c r="AE35" s="38">
        <f>TabelaProcuras!D33</f>
        <v>597</v>
      </c>
      <c r="AF35" s="51">
        <f t="shared" ca="1" si="13"/>
        <v>562.91658221379771</v>
      </c>
    </row>
    <row r="36" spans="4:32">
      <c r="D36" s="33">
        <f t="shared" si="1"/>
        <v>33</v>
      </c>
      <c r="E36" s="39">
        <f t="shared" ca="1" si="2"/>
        <v>1210.5292384987611</v>
      </c>
      <c r="F36" s="40">
        <f t="shared" ref="F36:F53" ca="1" si="14">E36-I36</f>
        <v>734.29385835673691</v>
      </c>
      <c r="G36" s="40">
        <f t="shared" ref="G36:G53" ca="1" si="15">AVERAGE(E36,F36)</f>
        <v>972.41154842774904</v>
      </c>
      <c r="H36" s="41">
        <f t="shared" ca="1" si="11"/>
        <v>476.23538014202416</v>
      </c>
      <c r="I36" s="40">
        <f t="shared" ref="I36:I53" ca="1" si="16">IF(E36&gt;H36,H36,E36)</f>
        <v>476.23538014202416</v>
      </c>
      <c r="J36" s="40">
        <f t="shared" ca="1" si="6"/>
        <v>0</v>
      </c>
      <c r="K36" s="40">
        <f t="shared" ca="1" si="7"/>
        <v>0</v>
      </c>
      <c r="L36" s="42">
        <f ca="1">IF(AND(F36&lt;B$4,O35&lt;=1),1,0)</f>
        <v>1</v>
      </c>
      <c r="M36" s="40">
        <f t="shared" ca="1" si="8"/>
        <v>2302.706141643263</v>
      </c>
      <c r="N36" s="43">
        <f t="shared" ref="N36:N53" ca="1" si="17">IF(L36=1,RANDBETWEEN(1,3),0)</f>
        <v>3</v>
      </c>
      <c r="O36" s="43">
        <f t="shared" ca="1" si="9"/>
        <v>3</v>
      </c>
      <c r="P36" s="44">
        <f ca="1">'Atual-N.Encomenda'!G$9/50 * 'Atual-N.Encomenda'!G$11*G36</f>
        <v>335.48198420757342</v>
      </c>
      <c r="Q36" s="44">
        <f ca="1">J36*'Atual-N.Encomenda'!$G$10</f>
        <v>0</v>
      </c>
      <c r="R36" s="44">
        <f ca="1">L36*'Atual-N.Encomenda'!G$8</f>
        <v>1500</v>
      </c>
      <c r="S36" s="86">
        <f t="shared" ca="1" si="10"/>
        <v>1835.4819842075735</v>
      </c>
      <c r="AB36" s="33">
        <f t="shared" si="12"/>
        <v>33</v>
      </c>
      <c r="AC36" s="98">
        <f>TabelaProcuras!B34</f>
        <v>439</v>
      </c>
      <c r="AD36" s="35">
        <f>TabelaProcuras!C34</f>
        <v>547</v>
      </c>
      <c r="AE36" s="38">
        <f>TabelaProcuras!D34</f>
        <v>614</v>
      </c>
      <c r="AF36" s="51">
        <f t="shared" ca="1" si="13"/>
        <v>476.23538014202416</v>
      </c>
    </row>
    <row r="37" spans="4:32">
      <c r="D37" s="33">
        <f t="shared" ref="D37:D53" si="18">D36+1</f>
        <v>34</v>
      </c>
      <c r="E37" s="39">
        <f t="shared" ref="E37:E53" ca="1" si="19">F36+IF(O36=1,M36,0)</f>
        <v>734.29385835673691</v>
      </c>
      <c r="F37" s="40">
        <f t="shared" ca="1" si="14"/>
        <v>198.2735326639671</v>
      </c>
      <c r="G37" s="40">
        <f t="shared" ca="1" si="15"/>
        <v>466.283695510352</v>
      </c>
      <c r="H37" s="41">
        <f t="shared" ca="1" si="11"/>
        <v>536.0203256927698</v>
      </c>
      <c r="I37" s="40">
        <f t="shared" ca="1" si="16"/>
        <v>536.0203256927698</v>
      </c>
      <c r="J37" s="40">
        <f t="shared" ca="1" si="6"/>
        <v>0</v>
      </c>
      <c r="K37" s="40">
        <f t="shared" ca="1" si="7"/>
        <v>0</v>
      </c>
      <c r="L37" s="72">
        <v>0</v>
      </c>
      <c r="M37" s="40">
        <f t="shared" ref="M37:M53" ca="1" si="20">IF(O36&gt;1,M36,IF(L37=1,B$5-F37,0))</f>
        <v>2302.706141643263</v>
      </c>
      <c r="N37" s="43">
        <f t="shared" ca="1" si="17"/>
        <v>0</v>
      </c>
      <c r="O37" s="43">
        <f t="shared" ref="O37:O53" ca="1" si="21">IF(N37&gt;0,N37,IF(O36&gt;0,O36-1,0))</f>
        <v>2</v>
      </c>
      <c r="P37" s="44">
        <f ca="1">'Atual-N.Encomenda'!G$9/50 * 'Atual-N.Encomenda'!G$11*G37</f>
        <v>160.86787495107146</v>
      </c>
      <c r="Q37" s="44">
        <f ca="1">J37*'Atual-N.Encomenda'!$G$10</f>
        <v>0</v>
      </c>
      <c r="R37" s="44">
        <f>L37*'Atual-N.Encomenda'!G$8</f>
        <v>0</v>
      </c>
      <c r="S37" s="86">
        <f t="shared" ca="1" si="10"/>
        <v>160.86787495107146</v>
      </c>
      <c r="AB37" s="33">
        <f t="shared" si="12"/>
        <v>34</v>
      </c>
      <c r="AC37" s="98">
        <f>TabelaProcuras!B35</f>
        <v>478</v>
      </c>
      <c r="AD37" s="35">
        <f>TabelaProcuras!C35</f>
        <v>493</v>
      </c>
      <c r="AE37" s="38">
        <f>TabelaProcuras!D35</f>
        <v>604</v>
      </c>
      <c r="AF37" s="51">
        <f t="shared" ca="1" si="13"/>
        <v>536.0203256927698</v>
      </c>
    </row>
    <row r="38" spans="4:32">
      <c r="D38" s="33">
        <f t="shared" si="18"/>
        <v>35</v>
      </c>
      <c r="E38" s="39">
        <f t="shared" ca="1" si="19"/>
        <v>198.2735326639671</v>
      </c>
      <c r="F38" s="40">
        <f t="shared" ca="1" si="14"/>
        <v>0</v>
      </c>
      <c r="G38" s="40">
        <f t="shared" ca="1" si="15"/>
        <v>99.136766331983551</v>
      </c>
      <c r="H38" s="41">
        <f t="shared" ca="1" si="11"/>
        <v>662.86147927579123</v>
      </c>
      <c r="I38" s="40">
        <f t="shared" ca="1" si="16"/>
        <v>198.2735326639671</v>
      </c>
      <c r="J38" s="40">
        <f t="shared" ca="1" si="6"/>
        <v>464.58794661182412</v>
      </c>
      <c r="K38" s="40">
        <f t="shared" ca="1" si="7"/>
        <v>1</v>
      </c>
      <c r="L38" s="72">
        <v>0</v>
      </c>
      <c r="M38" s="40">
        <f t="shared" ca="1" si="20"/>
        <v>2302.706141643263</v>
      </c>
      <c r="N38" s="43">
        <f t="shared" ca="1" si="17"/>
        <v>0</v>
      </c>
      <c r="O38" s="43">
        <f t="shared" ca="1" si="21"/>
        <v>1</v>
      </c>
      <c r="P38" s="44">
        <f ca="1">'Atual-N.Encomenda'!G$9/50 * 'Atual-N.Encomenda'!G$11*G38</f>
        <v>34.202184384534327</v>
      </c>
      <c r="Q38" s="44">
        <f ca="1">J38*'Atual-N.Encomenda'!$G$10</f>
        <v>17654.341971249316</v>
      </c>
      <c r="R38" s="44">
        <f>L38*'Atual-N.Encomenda'!G$8</f>
        <v>0</v>
      </c>
      <c r="S38" s="86">
        <f t="shared" ca="1" si="10"/>
        <v>17688.544155633852</v>
      </c>
      <c r="AB38" s="33">
        <f t="shared" si="12"/>
        <v>35</v>
      </c>
      <c r="AC38" s="98">
        <f>TabelaProcuras!B36</f>
        <v>433</v>
      </c>
      <c r="AD38" s="35">
        <f>TabelaProcuras!C36</f>
        <v>542</v>
      </c>
      <c r="AE38" s="38">
        <f>TabelaProcuras!D36</f>
        <v>610</v>
      </c>
      <c r="AF38" s="51">
        <f t="shared" ca="1" si="13"/>
        <v>662.86147927579123</v>
      </c>
    </row>
    <row r="39" spans="4:32">
      <c r="D39" s="33">
        <f t="shared" si="18"/>
        <v>36</v>
      </c>
      <c r="E39" s="39">
        <f t="shared" ca="1" si="19"/>
        <v>2302.706141643263</v>
      </c>
      <c r="F39" s="40">
        <f t="shared" ca="1" si="14"/>
        <v>1522.393662478542</v>
      </c>
      <c r="G39" s="40">
        <f t="shared" ca="1" si="15"/>
        <v>1912.5499020609025</v>
      </c>
      <c r="H39" s="41">
        <f t="shared" ca="1" si="11"/>
        <v>780.31247916472103</v>
      </c>
      <c r="I39" s="40">
        <f t="shared" ca="1" si="16"/>
        <v>780.31247916472103</v>
      </c>
      <c r="J39" s="40">
        <f t="shared" ca="1" si="6"/>
        <v>0</v>
      </c>
      <c r="K39" s="40">
        <f t="shared" ca="1" si="7"/>
        <v>0</v>
      </c>
      <c r="L39" s="72">
        <v>0</v>
      </c>
      <c r="M39" s="40">
        <f t="shared" ca="1" si="20"/>
        <v>0</v>
      </c>
      <c r="N39" s="43">
        <f t="shared" ca="1" si="17"/>
        <v>0</v>
      </c>
      <c r="O39" s="43">
        <f t="shared" ca="1" si="21"/>
        <v>0</v>
      </c>
      <c r="P39" s="44">
        <f ca="1">'Atual-N.Encomenda'!G$9/50 * 'Atual-N.Encomenda'!G$11*G39</f>
        <v>659.82971621101137</v>
      </c>
      <c r="Q39" s="44">
        <f ca="1">J39*'Atual-N.Encomenda'!$G$10</f>
        <v>0</v>
      </c>
      <c r="R39" s="44">
        <f>L39*'Atual-N.Encomenda'!G$8</f>
        <v>0</v>
      </c>
      <c r="S39" s="86">
        <f t="shared" ca="1" si="10"/>
        <v>659.82971621101137</v>
      </c>
      <c r="AB39" s="33">
        <f t="shared" si="12"/>
        <v>36</v>
      </c>
      <c r="AC39" s="98">
        <f>TabelaProcuras!B37</f>
        <v>444</v>
      </c>
      <c r="AD39" s="35">
        <f>TabelaProcuras!C37</f>
        <v>508</v>
      </c>
      <c r="AE39" s="38">
        <f>TabelaProcuras!D37</f>
        <v>605</v>
      </c>
      <c r="AF39" s="51">
        <f t="shared" ca="1" si="13"/>
        <v>501.55971119762648</v>
      </c>
    </row>
    <row r="40" spans="4:32">
      <c r="D40" s="33">
        <f t="shared" si="18"/>
        <v>37</v>
      </c>
      <c r="E40" s="39">
        <f t="shared" ca="1" si="19"/>
        <v>1522.393662478542</v>
      </c>
      <c r="F40" s="40">
        <f t="shared" ca="1" si="14"/>
        <v>1064.3484098884487</v>
      </c>
      <c r="G40" s="40">
        <f t="shared" ca="1" si="15"/>
        <v>1293.3710361834953</v>
      </c>
      <c r="H40" s="41">
        <f t="shared" ca="1" si="11"/>
        <v>458.04525259009324</v>
      </c>
      <c r="I40" s="40">
        <f t="shared" ca="1" si="16"/>
        <v>458.04525259009324</v>
      </c>
      <c r="J40" s="40">
        <f t="shared" ca="1" si="6"/>
        <v>0</v>
      </c>
      <c r="K40" s="40">
        <f t="shared" ca="1" si="7"/>
        <v>0</v>
      </c>
      <c r="L40" s="42">
        <f ca="1">IF(AND(F40&lt;B$4,O39&lt;=1),1,0)</f>
        <v>1</v>
      </c>
      <c r="M40" s="40">
        <f t="shared" ca="1" si="20"/>
        <v>1972.6515901115513</v>
      </c>
      <c r="N40" s="43">
        <f t="shared" ca="1" si="17"/>
        <v>3</v>
      </c>
      <c r="O40" s="43">
        <f t="shared" ca="1" si="21"/>
        <v>3</v>
      </c>
      <c r="P40" s="44">
        <f ca="1">'Atual-N.Encomenda'!G$9/50 * 'Atual-N.Encomenda'!G$11*G40</f>
        <v>446.21300748330594</v>
      </c>
      <c r="Q40" s="44">
        <f ca="1">J40*'Atual-N.Encomenda'!$G$10</f>
        <v>0</v>
      </c>
      <c r="R40" s="44">
        <f ca="1">L40*'Atual-N.Encomenda'!G$8</f>
        <v>1500</v>
      </c>
      <c r="S40" s="86">
        <f ca="1">SUM(P40:R40)</f>
        <v>1946.213007483306</v>
      </c>
      <c r="AB40" s="33">
        <f>AB39+1</f>
        <v>37</v>
      </c>
      <c r="AC40" s="98">
        <f>TabelaProcuras!B38</f>
        <v>410</v>
      </c>
      <c r="AD40" s="35">
        <f>TabelaProcuras!C38</f>
        <v>555</v>
      </c>
      <c r="AE40" s="38">
        <f>TabelaProcuras!D38</f>
        <v>614</v>
      </c>
      <c r="AF40" s="51">
        <f t="shared" ca="1" si="13"/>
        <v>458.04525259009324</v>
      </c>
    </row>
    <row r="41" spans="4:32">
      <c r="D41" s="33">
        <f t="shared" si="18"/>
        <v>38</v>
      </c>
      <c r="E41" s="39">
        <f t="shared" ca="1" si="19"/>
        <v>1064.3484098884487</v>
      </c>
      <c r="F41" s="40">
        <f t="shared" ca="1" si="14"/>
        <v>499.13542816945323</v>
      </c>
      <c r="G41" s="40">
        <f t="shared" ca="1" si="15"/>
        <v>781.74191902895097</v>
      </c>
      <c r="H41" s="41">
        <f t="shared" ca="1" si="11"/>
        <v>565.21298171899548</v>
      </c>
      <c r="I41" s="40">
        <f t="shared" ca="1" si="16"/>
        <v>565.21298171899548</v>
      </c>
      <c r="J41" s="40">
        <f t="shared" ca="1" si="6"/>
        <v>0</v>
      </c>
      <c r="K41" s="40">
        <f t="shared" ca="1" si="7"/>
        <v>0</v>
      </c>
      <c r="L41" s="72">
        <v>0</v>
      </c>
      <c r="M41" s="40">
        <f t="shared" ca="1" si="20"/>
        <v>1972.6515901115513</v>
      </c>
      <c r="N41" s="43">
        <f t="shared" ca="1" si="17"/>
        <v>0</v>
      </c>
      <c r="O41" s="43">
        <f t="shared" ca="1" si="21"/>
        <v>2</v>
      </c>
      <c r="P41" s="44">
        <f ca="1">'Atual-N.Encomenda'!G$9/50 * 'Atual-N.Encomenda'!G$11*G41</f>
        <v>269.70096206498812</v>
      </c>
      <c r="Q41" s="44">
        <f ca="1">J41*'Atual-N.Encomenda'!$G$10</f>
        <v>0</v>
      </c>
      <c r="R41" s="44">
        <f>L41*'Atual-N.Encomenda'!G$8</f>
        <v>0</v>
      </c>
      <c r="S41" s="86">
        <f t="shared" ca="1" si="10"/>
        <v>269.70096206498812</v>
      </c>
      <c r="AB41" s="33">
        <f t="shared" si="12"/>
        <v>38</v>
      </c>
      <c r="AC41" s="98">
        <f>TabelaProcuras!B39</f>
        <v>478</v>
      </c>
      <c r="AD41" s="35">
        <f>TabelaProcuras!C39</f>
        <v>531</v>
      </c>
      <c r="AE41" s="38">
        <f>TabelaProcuras!D39</f>
        <v>588</v>
      </c>
      <c r="AF41" s="51">
        <f t="shared" ca="1" si="13"/>
        <v>565.21298171899548</v>
      </c>
    </row>
    <row r="42" spans="4:32">
      <c r="D42" s="33">
        <f t="shared" si="18"/>
        <v>39</v>
      </c>
      <c r="E42" s="39">
        <f t="shared" ca="1" si="19"/>
        <v>499.13542816945323</v>
      </c>
      <c r="F42" s="40">
        <f t="shared" ca="1" si="14"/>
        <v>3.7022549175186441</v>
      </c>
      <c r="G42" s="40">
        <f t="shared" ca="1" si="15"/>
        <v>251.41884154348594</v>
      </c>
      <c r="H42" s="41">
        <f t="shared" ca="1" si="11"/>
        <v>495.43317325193459</v>
      </c>
      <c r="I42" s="40">
        <f t="shared" ca="1" si="16"/>
        <v>495.43317325193459</v>
      </c>
      <c r="J42" s="40">
        <f ca="1">H42-I42</f>
        <v>0</v>
      </c>
      <c r="K42" s="40">
        <f t="shared" ca="1" si="7"/>
        <v>0</v>
      </c>
      <c r="L42" s="72">
        <v>0</v>
      </c>
      <c r="M42" s="40">
        <f t="shared" ca="1" si="20"/>
        <v>1972.6515901115513</v>
      </c>
      <c r="N42" s="43">
        <f t="shared" ca="1" si="17"/>
        <v>0</v>
      </c>
      <c r="O42" s="43">
        <f t="shared" ca="1" si="21"/>
        <v>1</v>
      </c>
      <c r="P42" s="44">
        <f ca="1">'Atual-N.Encomenda'!G$9/50 * 'Atual-N.Encomenda'!G$11*G42</f>
        <v>86.739500332502658</v>
      </c>
      <c r="Q42" s="44">
        <f ca="1">J42*'Atual-N.Encomenda'!$G$10</f>
        <v>0</v>
      </c>
      <c r="R42" s="44">
        <f>L42*'Atual-N.Encomenda'!G$8</f>
        <v>0</v>
      </c>
      <c r="S42" s="86">
        <f t="shared" ca="1" si="10"/>
        <v>86.739500332502658</v>
      </c>
      <c r="AB42" s="33">
        <f t="shared" si="12"/>
        <v>39</v>
      </c>
      <c r="AC42" s="98">
        <f>TabelaProcuras!B40</f>
        <v>442</v>
      </c>
      <c r="AD42" s="35">
        <f>TabelaProcuras!C40</f>
        <v>513</v>
      </c>
      <c r="AE42" s="38">
        <f>TabelaProcuras!D40</f>
        <v>590</v>
      </c>
      <c r="AF42" s="51">
        <f t="shared" ca="1" si="13"/>
        <v>495.43317325193459</v>
      </c>
    </row>
    <row r="43" spans="4:32">
      <c r="D43" s="33">
        <f t="shared" si="18"/>
        <v>40</v>
      </c>
      <c r="E43" s="39">
        <f t="shared" ca="1" si="19"/>
        <v>1976.3538450290698</v>
      </c>
      <c r="F43" s="40">
        <f t="shared" ca="1" si="14"/>
        <v>1537.6931653073545</v>
      </c>
      <c r="G43" s="40">
        <f t="shared" ca="1" si="15"/>
        <v>1757.0235051682121</v>
      </c>
      <c r="H43" s="41">
        <f t="shared" ca="1" si="11"/>
        <v>438.66067972171527</v>
      </c>
      <c r="I43" s="40">
        <f t="shared" ca="1" si="16"/>
        <v>438.66067972171527</v>
      </c>
      <c r="J43" s="40">
        <f t="shared" ca="1" si="6"/>
        <v>0</v>
      </c>
      <c r="K43" s="40">
        <f t="shared" ca="1" si="7"/>
        <v>0</v>
      </c>
      <c r="L43" s="72">
        <v>0</v>
      </c>
      <c r="M43" s="40">
        <f t="shared" ca="1" si="20"/>
        <v>0</v>
      </c>
      <c r="N43" s="43">
        <f t="shared" ca="1" si="17"/>
        <v>0</v>
      </c>
      <c r="O43" s="43">
        <f t="shared" ca="1" si="21"/>
        <v>0</v>
      </c>
      <c r="P43" s="44">
        <f ca="1">'Atual-N.Encomenda'!G$9/50 * 'Atual-N.Encomenda'!G$11*G43</f>
        <v>606.17310928303323</v>
      </c>
      <c r="Q43" s="44">
        <f ca="1">J43*'Atual-N.Encomenda'!$G$10</f>
        <v>0</v>
      </c>
      <c r="R43" s="44">
        <f>L43*'Atual-N.Encomenda'!G$8</f>
        <v>0</v>
      </c>
      <c r="S43" s="86">
        <f t="shared" ca="1" si="10"/>
        <v>606.17310928303323</v>
      </c>
      <c r="AB43" s="33">
        <f t="shared" si="12"/>
        <v>40</v>
      </c>
      <c r="AC43" s="98">
        <f>TabelaProcuras!B41</f>
        <v>429</v>
      </c>
      <c r="AD43" s="35">
        <f>TabelaProcuras!C41</f>
        <v>517</v>
      </c>
      <c r="AE43" s="38">
        <f>TabelaProcuras!D41</f>
        <v>604</v>
      </c>
      <c r="AF43" s="51">
        <f t="shared" ca="1" si="13"/>
        <v>438.66067972171527</v>
      </c>
    </row>
    <row r="44" spans="4:32">
      <c r="D44" s="33">
        <f t="shared" si="18"/>
        <v>41</v>
      </c>
      <c r="E44" s="39">
        <f t="shared" ca="1" si="19"/>
        <v>1537.6931653073545</v>
      </c>
      <c r="F44" s="40">
        <f t="shared" ca="1" si="14"/>
        <v>1000.2742089770574</v>
      </c>
      <c r="G44" s="40">
        <f t="shared" ca="1" si="15"/>
        <v>1268.983687142206</v>
      </c>
      <c r="H44" s="41">
        <f t="shared" ca="1" si="11"/>
        <v>537.41895633029719</v>
      </c>
      <c r="I44" s="40">
        <f t="shared" ca="1" si="16"/>
        <v>537.41895633029719</v>
      </c>
      <c r="J44" s="40">
        <f t="shared" ca="1" si="6"/>
        <v>0</v>
      </c>
      <c r="K44" s="40">
        <f t="shared" ca="1" si="7"/>
        <v>0</v>
      </c>
      <c r="L44" s="42">
        <f ca="1">IF(AND(F44&lt;B$4,O43&lt;=1),1,0)</f>
        <v>1</v>
      </c>
      <c r="M44" s="40">
        <f t="shared" ca="1" si="20"/>
        <v>2036.7257910229428</v>
      </c>
      <c r="N44" s="43">
        <f t="shared" ca="1" si="17"/>
        <v>2</v>
      </c>
      <c r="O44" s="43">
        <f t="shared" ca="1" si="21"/>
        <v>2</v>
      </c>
      <c r="P44" s="44">
        <f ca="1">'Atual-N.Encomenda'!G$9/50 * 'Atual-N.Encomenda'!G$11*G44</f>
        <v>437.79937206406112</v>
      </c>
      <c r="Q44" s="44">
        <f ca="1">J44*'Atual-N.Encomenda'!$G$10</f>
        <v>0</v>
      </c>
      <c r="R44" s="44">
        <f ca="1">L44*'Atual-N.Encomenda'!G$8</f>
        <v>1500</v>
      </c>
      <c r="S44" s="86">
        <f t="shared" ca="1" si="10"/>
        <v>1937.7993720640611</v>
      </c>
      <c r="AB44" s="33">
        <f t="shared" si="12"/>
        <v>41</v>
      </c>
      <c r="AC44" s="98">
        <f>TabelaProcuras!B42</f>
        <v>426</v>
      </c>
      <c r="AD44" s="35">
        <f>TabelaProcuras!C42</f>
        <v>519</v>
      </c>
      <c r="AE44" s="38">
        <f>TabelaProcuras!D42</f>
        <v>585</v>
      </c>
      <c r="AF44" s="51">
        <f t="shared" ca="1" si="13"/>
        <v>537.41895633029719</v>
      </c>
    </row>
    <row r="45" spans="4:32">
      <c r="D45" s="33">
        <f t="shared" si="18"/>
        <v>42</v>
      </c>
      <c r="E45" s="39">
        <f t="shared" ca="1" si="19"/>
        <v>1000.2742089770574</v>
      </c>
      <c r="F45" s="40">
        <f t="shared" ca="1" si="14"/>
        <v>493.36735178747261</v>
      </c>
      <c r="G45" s="40">
        <f t="shared" ca="1" si="15"/>
        <v>746.82078038226496</v>
      </c>
      <c r="H45" s="41">
        <f t="shared" ca="1" si="11"/>
        <v>506.90685718958474</v>
      </c>
      <c r="I45" s="40">
        <f t="shared" ca="1" si="16"/>
        <v>506.90685718958474</v>
      </c>
      <c r="J45" s="40">
        <f t="shared" ca="1" si="6"/>
        <v>0</v>
      </c>
      <c r="K45" s="40">
        <f t="shared" ca="1" si="7"/>
        <v>0</v>
      </c>
      <c r="L45" s="72">
        <v>0</v>
      </c>
      <c r="M45" s="40">
        <f t="shared" ca="1" si="20"/>
        <v>2036.7257910229428</v>
      </c>
      <c r="N45" s="43">
        <f t="shared" ca="1" si="17"/>
        <v>0</v>
      </c>
      <c r="O45" s="43">
        <f t="shared" ca="1" si="21"/>
        <v>1</v>
      </c>
      <c r="P45" s="44">
        <f ca="1">'Atual-N.Encomenda'!G$9/50 * 'Atual-N.Encomenda'!G$11*G45</f>
        <v>257.65316923188141</v>
      </c>
      <c r="Q45" s="44">
        <f ca="1">J45*'Atual-N.Encomenda'!$G$10</f>
        <v>0</v>
      </c>
      <c r="R45" s="44">
        <f>L45*'Atual-N.Encomenda'!G$8</f>
        <v>0</v>
      </c>
      <c r="S45" s="86">
        <f t="shared" ca="1" si="10"/>
        <v>257.65316923188141</v>
      </c>
      <c r="AB45" s="33">
        <f t="shared" si="12"/>
        <v>42</v>
      </c>
      <c r="AC45" s="98">
        <f>TabelaProcuras!B43</f>
        <v>424</v>
      </c>
      <c r="AD45" s="35">
        <f>TabelaProcuras!C43</f>
        <v>511</v>
      </c>
      <c r="AE45" s="38">
        <f>TabelaProcuras!D43</f>
        <v>591</v>
      </c>
      <c r="AF45" s="51">
        <f t="shared" ca="1" si="13"/>
        <v>506.90685718958474</v>
      </c>
    </row>
    <row r="46" spans="4:32">
      <c r="D46" s="33">
        <f t="shared" si="18"/>
        <v>43</v>
      </c>
      <c r="E46" s="39">
        <f t="shared" ca="1" si="19"/>
        <v>2530.0931428104154</v>
      </c>
      <c r="F46" s="40">
        <f t="shared" ca="1" si="14"/>
        <v>1964.352523557217</v>
      </c>
      <c r="G46" s="40">
        <f t="shared" ca="1" si="15"/>
        <v>2247.222833183816</v>
      </c>
      <c r="H46" s="41">
        <f t="shared" ca="1" si="11"/>
        <v>565.74061925319859</v>
      </c>
      <c r="I46" s="40">
        <f t="shared" ca="1" si="16"/>
        <v>565.74061925319859</v>
      </c>
      <c r="J46" s="40">
        <f t="shared" ca="1" si="6"/>
        <v>0</v>
      </c>
      <c r="K46" s="40">
        <f t="shared" ca="1" si="7"/>
        <v>0</v>
      </c>
      <c r="L46" s="72">
        <v>0</v>
      </c>
      <c r="M46" s="40">
        <f t="shared" ca="1" si="20"/>
        <v>0</v>
      </c>
      <c r="N46" s="43">
        <f t="shared" ca="1" si="17"/>
        <v>0</v>
      </c>
      <c r="O46" s="43">
        <f t="shared" ca="1" si="21"/>
        <v>0</v>
      </c>
      <c r="P46" s="44">
        <f ca="1">'Atual-N.Encomenda'!G$9/50 * 'Atual-N.Encomenda'!G$11*G46</f>
        <v>775.29187744841659</v>
      </c>
      <c r="Q46" s="44">
        <f ca="1">J46*'Atual-N.Encomenda'!$G$10</f>
        <v>0</v>
      </c>
      <c r="R46" s="44">
        <f>L46*'Atual-N.Encomenda'!G$8</f>
        <v>0</v>
      </c>
      <c r="S46" s="86">
        <f t="shared" ca="1" si="10"/>
        <v>775.29187744841659</v>
      </c>
      <c r="AB46" s="33">
        <f t="shared" si="12"/>
        <v>43</v>
      </c>
      <c r="AC46" s="98">
        <f>TabelaProcuras!B44</f>
        <v>408</v>
      </c>
      <c r="AD46" s="35">
        <f>TabelaProcuras!C44</f>
        <v>545</v>
      </c>
      <c r="AE46" s="38">
        <f>TabelaProcuras!D44</f>
        <v>602</v>
      </c>
      <c r="AF46" s="51">
        <f t="shared" ca="1" si="13"/>
        <v>565.74061925319859</v>
      </c>
    </row>
    <row r="47" spans="4:32">
      <c r="D47" s="33">
        <f t="shared" si="18"/>
        <v>44</v>
      </c>
      <c r="E47" s="39">
        <f t="shared" ca="1" si="19"/>
        <v>1964.352523557217</v>
      </c>
      <c r="F47" s="40">
        <f t="shared" ca="1" si="14"/>
        <v>1395.1298326034835</v>
      </c>
      <c r="G47" s="40">
        <f t="shared" ca="1" si="15"/>
        <v>1679.7411780803502</v>
      </c>
      <c r="H47" s="41">
        <f t="shared" ca="1" si="11"/>
        <v>569.2226909537336</v>
      </c>
      <c r="I47" s="40">
        <f t="shared" ca="1" si="16"/>
        <v>569.2226909537336</v>
      </c>
      <c r="J47" s="40">
        <f t="shared" ca="1" si="6"/>
        <v>0</v>
      </c>
      <c r="K47" s="40">
        <f t="shared" ca="1" si="7"/>
        <v>0</v>
      </c>
      <c r="L47" s="72">
        <v>0</v>
      </c>
      <c r="M47" s="40">
        <f t="shared" ca="1" si="20"/>
        <v>0</v>
      </c>
      <c r="N47" s="43">
        <f t="shared" ca="1" si="17"/>
        <v>0</v>
      </c>
      <c r="O47" s="43">
        <f t="shared" ca="1" si="21"/>
        <v>0</v>
      </c>
      <c r="P47" s="44">
        <f ca="1">'Atual-N.Encomenda'!G$9/50 * 'Atual-N.Encomenda'!G$11*G47</f>
        <v>579.51070643772084</v>
      </c>
      <c r="Q47" s="44">
        <f ca="1">J47*'Atual-N.Encomenda'!$G$10</f>
        <v>0</v>
      </c>
      <c r="R47" s="44">
        <f>L47*'Atual-N.Encomenda'!G$8</f>
        <v>0</v>
      </c>
      <c r="S47" s="86">
        <f t="shared" ca="1" si="10"/>
        <v>579.51070643772084</v>
      </c>
      <c r="AB47" s="33">
        <f t="shared" si="12"/>
        <v>44</v>
      </c>
      <c r="AC47" s="98">
        <f>TabelaProcuras!B45</f>
        <v>462</v>
      </c>
      <c r="AD47" s="35">
        <f>TabelaProcuras!C45</f>
        <v>546</v>
      </c>
      <c r="AE47" s="38">
        <f>TabelaProcuras!D45</f>
        <v>591</v>
      </c>
      <c r="AF47" s="51">
        <f t="shared" ca="1" si="13"/>
        <v>569.2226909537336</v>
      </c>
    </row>
    <row r="48" spans="4:32">
      <c r="D48" s="33">
        <f t="shared" si="18"/>
        <v>45</v>
      </c>
      <c r="E48" s="39">
        <f t="shared" ca="1" si="19"/>
        <v>1395.1298326034835</v>
      </c>
      <c r="F48" s="40">
        <f t="shared" ca="1" si="14"/>
        <v>751.8453515966313</v>
      </c>
      <c r="G48" s="40">
        <f t="shared" ca="1" si="15"/>
        <v>1073.4875921000573</v>
      </c>
      <c r="H48" s="41">
        <f t="shared" ca="1" si="11"/>
        <v>643.28448100685216</v>
      </c>
      <c r="I48" s="40">
        <f t="shared" ca="1" si="16"/>
        <v>643.28448100685216</v>
      </c>
      <c r="J48" s="40">
        <f t="shared" ca="1" si="6"/>
        <v>0</v>
      </c>
      <c r="K48" s="40">
        <f t="shared" ca="1" si="7"/>
        <v>0</v>
      </c>
      <c r="L48" s="42">
        <f ca="1">IF(AND(F48&lt;B$4,O47&lt;=1),1,0)</f>
        <v>1</v>
      </c>
      <c r="M48" s="40">
        <f t="shared" ca="1" si="20"/>
        <v>2285.1546484033688</v>
      </c>
      <c r="N48" s="43">
        <f t="shared" ca="1" si="17"/>
        <v>1</v>
      </c>
      <c r="O48" s="43">
        <f t="shared" ca="1" si="21"/>
        <v>1</v>
      </c>
      <c r="P48" s="44">
        <f ca="1">'Atual-N.Encomenda'!G$9/50 * 'Atual-N.Encomenda'!G$11*G48</f>
        <v>370.3532192745198</v>
      </c>
      <c r="Q48" s="44">
        <f ca="1">J48*'Atual-N.Encomenda'!$G$10</f>
        <v>0</v>
      </c>
      <c r="R48" s="44">
        <f ca="1">L48*'Atual-N.Encomenda'!G$8</f>
        <v>1500</v>
      </c>
      <c r="S48" s="86">
        <f t="shared" ca="1" si="10"/>
        <v>1870.3532192745197</v>
      </c>
      <c r="AB48" s="33">
        <f t="shared" si="12"/>
        <v>45</v>
      </c>
      <c r="AC48" s="98">
        <f>TabelaProcuras!B46</f>
        <v>430</v>
      </c>
      <c r="AD48" s="35">
        <f>TabelaProcuras!C46</f>
        <v>543</v>
      </c>
      <c r="AE48" s="38">
        <f>TabelaProcuras!D46</f>
        <v>596</v>
      </c>
      <c r="AF48" s="51">
        <f ca="1">_xlfn.NORM.INV(RAND(),AVERAGE(AC48:AE48),_xlfn.STDEV.S(AC48:AE48))</f>
        <v>643.28448100685216</v>
      </c>
    </row>
    <row r="49" spans="4:32">
      <c r="D49" s="33">
        <f t="shared" si="18"/>
        <v>46</v>
      </c>
      <c r="E49" s="39">
        <f t="shared" ca="1" si="19"/>
        <v>3037</v>
      </c>
      <c r="F49" s="40">
        <f t="shared" ca="1" si="14"/>
        <v>2490.6882294074558</v>
      </c>
      <c r="G49" s="40">
        <f t="shared" ca="1" si="15"/>
        <v>2763.8441147037279</v>
      </c>
      <c r="H49" s="41">
        <f t="shared" ca="1" si="11"/>
        <v>546.31177059254412</v>
      </c>
      <c r="I49" s="40">
        <f t="shared" ca="1" si="16"/>
        <v>546.31177059254412</v>
      </c>
      <c r="J49" s="40">
        <f t="shared" ca="1" si="6"/>
        <v>0</v>
      </c>
      <c r="K49" s="40">
        <f t="shared" ca="1" si="7"/>
        <v>0</v>
      </c>
      <c r="L49" s="72">
        <v>0</v>
      </c>
      <c r="M49" s="40">
        <f t="shared" ca="1" si="20"/>
        <v>0</v>
      </c>
      <c r="N49" s="43">
        <f t="shared" ca="1" si="17"/>
        <v>0</v>
      </c>
      <c r="O49" s="43">
        <f t="shared" ca="1" si="21"/>
        <v>0</v>
      </c>
      <c r="P49" s="44">
        <f ca="1">'Atual-N.Encomenda'!G$9/50 * 'Atual-N.Encomenda'!G$11*G49</f>
        <v>953.5262195727862</v>
      </c>
      <c r="Q49" s="44">
        <f ca="1">J49*'Atual-N.Encomenda'!$G$10</f>
        <v>0</v>
      </c>
      <c r="R49" s="44">
        <f>L49*'Atual-N.Encomenda'!G$8</f>
        <v>0</v>
      </c>
      <c r="S49" s="86">
        <f t="shared" ca="1" si="10"/>
        <v>953.5262195727862</v>
      </c>
      <c r="AB49" s="33">
        <f t="shared" si="12"/>
        <v>46</v>
      </c>
      <c r="AC49" s="98">
        <f>TabelaProcuras!B47</f>
        <v>424</v>
      </c>
      <c r="AD49" s="35">
        <f>TabelaProcuras!C47</f>
        <v>496</v>
      </c>
      <c r="AE49" s="38">
        <f>TabelaProcuras!D47</f>
        <v>582</v>
      </c>
      <c r="AF49" s="51">
        <f t="shared" ca="1" si="13"/>
        <v>546.31177059254412</v>
      </c>
    </row>
    <row r="50" spans="4:32">
      <c r="D50" s="33">
        <f t="shared" si="18"/>
        <v>47</v>
      </c>
      <c r="E50" s="39">
        <f t="shared" ca="1" si="19"/>
        <v>2490.6882294074558</v>
      </c>
      <c r="F50" s="40">
        <f t="shared" ca="1" si="14"/>
        <v>2146.930170728323</v>
      </c>
      <c r="G50" s="40">
        <f t="shared" ca="1" si="15"/>
        <v>2318.8092000678894</v>
      </c>
      <c r="H50" s="41">
        <f t="shared" ca="1" si="11"/>
        <v>343.7580586791326</v>
      </c>
      <c r="I50" s="40">
        <f t="shared" ca="1" si="16"/>
        <v>343.7580586791326</v>
      </c>
      <c r="J50" s="40">
        <f t="shared" ca="1" si="6"/>
        <v>0</v>
      </c>
      <c r="K50" s="40">
        <f t="shared" ca="1" si="7"/>
        <v>0</v>
      </c>
      <c r="L50" s="72">
        <v>0</v>
      </c>
      <c r="M50" s="40">
        <f t="shared" ca="1" si="20"/>
        <v>0</v>
      </c>
      <c r="N50" s="43">
        <f t="shared" ca="1" si="17"/>
        <v>0</v>
      </c>
      <c r="O50" s="43">
        <f t="shared" ca="1" si="21"/>
        <v>0</v>
      </c>
      <c r="P50" s="44">
        <f ca="1">'Atual-N.Encomenda'!G$9/50 * 'Atual-N.Encomenda'!G$11*G50</f>
        <v>799.98917402342192</v>
      </c>
      <c r="Q50" s="44">
        <f ca="1">J50*'Atual-N.Encomenda'!$G$10</f>
        <v>0</v>
      </c>
      <c r="R50" s="44">
        <f>L50*'Atual-N.Encomenda'!G$8</f>
        <v>0</v>
      </c>
      <c r="S50" s="86">
        <f t="shared" ca="1" si="10"/>
        <v>799.98917402342192</v>
      </c>
      <c r="AB50" s="33">
        <f t="shared" si="12"/>
        <v>47</v>
      </c>
      <c r="AC50" s="98">
        <f>TabelaProcuras!B48</f>
        <v>293</v>
      </c>
      <c r="AD50" s="35">
        <f>TabelaProcuras!C48</f>
        <v>375</v>
      </c>
      <c r="AE50" s="38">
        <f>TabelaProcuras!D48</f>
        <v>391</v>
      </c>
      <c r="AF50" s="51">
        <f t="shared" ca="1" si="13"/>
        <v>343.7580586791326</v>
      </c>
    </row>
    <row r="51" spans="4:32">
      <c r="D51" s="33">
        <f t="shared" si="18"/>
        <v>48</v>
      </c>
      <c r="E51" s="39">
        <f t="shared" ca="1" si="19"/>
        <v>2146.930170728323</v>
      </c>
      <c r="F51" s="40">
        <f t="shared" ca="1" si="14"/>
        <v>1783.7422820371085</v>
      </c>
      <c r="G51" s="40">
        <f t="shared" ca="1" si="15"/>
        <v>1965.3362263827157</v>
      </c>
      <c r="H51" s="41">
        <f t="shared" ca="1" si="11"/>
        <v>363.1878886912146</v>
      </c>
      <c r="I51" s="40">
        <f t="shared" ca="1" si="16"/>
        <v>363.1878886912146</v>
      </c>
      <c r="J51" s="40">
        <f t="shared" ca="1" si="6"/>
        <v>0</v>
      </c>
      <c r="K51" s="40">
        <f t="shared" ca="1" si="7"/>
        <v>0</v>
      </c>
      <c r="L51" s="72">
        <v>0</v>
      </c>
      <c r="M51" s="40">
        <f t="shared" ca="1" si="20"/>
        <v>0</v>
      </c>
      <c r="N51" s="43">
        <f t="shared" ca="1" si="17"/>
        <v>0</v>
      </c>
      <c r="O51" s="43">
        <f t="shared" ca="1" si="21"/>
        <v>0</v>
      </c>
      <c r="P51" s="44">
        <f ca="1">'Atual-N.Encomenda'!G$9/50 * 'Atual-N.Encomenda'!G$11*G51</f>
        <v>678.04099810203695</v>
      </c>
      <c r="Q51" s="44">
        <f ca="1">J51*'Atual-N.Encomenda'!$G$10</f>
        <v>0</v>
      </c>
      <c r="R51" s="44">
        <f>L51*'Atual-N.Encomenda'!G$8</f>
        <v>0</v>
      </c>
      <c r="S51" s="86">
        <f t="shared" ca="1" si="10"/>
        <v>678.04099810203695</v>
      </c>
      <c r="AB51" s="33">
        <f t="shared" si="12"/>
        <v>48</v>
      </c>
      <c r="AC51" s="98">
        <f>TabelaProcuras!B49</f>
        <v>308</v>
      </c>
      <c r="AD51" s="35">
        <f>TabelaProcuras!C49</f>
        <v>355</v>
      </c>
      <c r="AE51" s="38">
        <f>TabelaProcuras!D49</f>
        <v>428</v>
      </c>
      <c r="AF51" s="51">
        <f t="shared" ca="1" si="13"/>
        <v>363.1878886912146</v>
      </c>
    </row>
    <row r="52" spans="4:32">
      <c r="D52" s="33">
        <f t="shared" si="18"/>
        <v>49</v>
      </c>
      <c r="E52" s="39">
        <f t="shared" ca="1" si="19"/>
        <v>1783.7422820371085</v>
      </c>
      <c r="F52" s="40">
        <f t="shared" ca="1" si="14"/>
        <v>1397.025580573742</v>
      </c>
      <c r="G52" s="40">
        <f t="shared" ca="1" si="15"/>
        <v>1590.3839313054252</v>
      </c>
      <c r="H52" s="41">
        <f t="shared" ca="1" si="11"/>
        <v>386.71670146336646</v>
      </c>
      <c r="I52" s="40">
        <f t="shared" ca="1" si="16"/>
        <v>386.71670146336646</v>
      </c>
      <c r="J52" s="40">
        <f t="shared" ca="1" si="6"/>
        <v>0</v>
      </c>
      <c r="K52" s="40">
        <f t="shared" ca="1" si="7"/>
        <v>0</v>
      </c>
      <c r="L52" s="42">
        <f ca="1">IF(AND(F52&lt;B$4,O51&lt;=1),1,0)</f>
        <v>1</v>
      </c>
      <c r="M52" s="40">
        <f t="shared" ca="1" si="20"/>
        <v>1639.974419426258</v>
      </c>
      <c r="N52" s="43">
        <f t="shared" ca="1" si="17"/>
        <v>2</v>
      </c>
      <c r="O52" s="43">
        <f t="shared" ca="1" si="21"/>
        <v>2</v>
      </c>
      <c r="P52" s="44">
        <f ca="1">'Atual-N.Encomenda'!G$9/50 * 'Atual-N.Encomenda'!G$11*G52</f>
        <v>548.68245630037177</v>
      </c>
      <c r="Q52" s="44">
        <f ca="1">J52*'Atual-N.Encomenda'!$G$10</f>
        <v>0</v>
      </c>
      <c r="R52" s="44">
        <f ca="1">L52*'Atual-N.Encomenda'!G$8</f>
        <v>1500</v>
      </c>
      <c r="S52" s="86">
        <f t="shared" ca="1" si="10"/>
        <v>2048.682456300372</v>
      </c>
      <c r="AB52" s="33">
        <f t="shared" si="12"/>
        <v>49</v>
      </c>
      <c r="AC52" s="98">
        <f>TabelaProcuras!B50</f>
        <v>288</v>
      </c>
      <c r="AD52" s="35">
        <f>TabelaProcuras!C50</f>
        <v>371</v>
      </c>
      <c r="AE52" s="38">
        <f>TabelaProcuras!D50</f>
        <v>409</v>
      </c>
      <c r="AF52" s="51">
        <f t="shared" ca="1" si="13"/>
        <v>386.71670146336646</v>
      </c>
    </row>
    <row r="53" spans="4:32">
      <c r="D53" s="33">
        <f t="shared" si="18"/>
        <v>50</v>
      </c>
      <c r="E53" s="45">
        <f t="shared" ca="1" si="19"/>
        <v>1397.025580573742</v>
      </c>
      <c r="F53" s="46">
        <f t="shared" ca="1" si="14"/>
        <v>1016.1970715296026</v>
      </c>
      <c r="G53" s="46">
        <f t="shared" ca="1" si="15"/>
        <v>1206.6113260516722</v>
      </c>
      <c r="H53" s="85">
        <f t="shared" ca="1" si="11"/>
        <v>380.82850904413942</v>
      </c>
      <c r="I53" s="46">
        <f t="shared" ca="1" si="16"/>
        <v>380.82850904413942</v>
      </c>
      <c r="J53" s="46">
        <f t="shared" ca="1" si="6"/>
        <v>0</v>
      </c>
      <c r="K53" s="75">
        <f t="shared" ca="1" si="7"/>
        <v>0</v>
      </c>
      <c r="L53" s="74">
        <f>0</f>
        <v>0</v>
      </c>
      <c r="M53" s="46">
        <f t="shared" ca="1" si="20"/>
        <v>1639.974419426258</v>
      </c>
      <c r="N53" s="47">
        <f t="shared" ca="1" si="17"/>
        <v>0</v>
      </c>
      <c r="O53" s="47">
        <f t="shared" ca="1" si="21"/>
        <v>1</v>
      </c>
      <c r="P53" s="48">
        <f ca="1">'Atual-N.Encomenda'!G$9/50 * 'Atual-N.Encomenda'!G$11*G53</f>
        <v>416.28090748782694</v>
      </c>
      <c r="Q53" s="49">
        <f ca="1">J53*'Atual-N.Encomenda'!$G$10</f>
        <v>0</v>
      </c>
      <c r="R53" s="48">
        <f>L53*'Atual-N.Encomenda'!G$8</f>
        <v>0</v>
      </c>
      <c r="S53" s="87">
        <f t="shared" ca="1" si="10"/>
        <v>416.28090748782694</v>
      </c>
      <c r="AB53" s="33">
        <f>AB52+1</f>
        <v>50</v>
      </c>
      <c r="AC53" s="98">
        <f>TabelaProcuras!B51</f>
        <v>334</v>
      </c>
      <c r="AD53" s="35">
        <f>TabelaProcuras!C51</f>
        <v>375</v>
      </c>
      <c r="AE53" s="38">
        <f>TabelaProcuras!D51</f>
        <v>448</v>
      </c>
      <c r="AF53" s="51">
        <f t="shared" ca="1" si="13"/>
        <v>380.82850904413942</v>
      </c>
    </row>
    <row r="54" spans="4:32">
      <c r="H54">
        <f t="shared" ref="H54" ca="1" si="22">AF54</f>
        <v>438.99527781563302</v>
      </c>
      <c r="S54" s="62">
        <f ca="1">SUM(S4:S53)</f>
        <v>79077.052913455627</v>
      </c>
      <c r="AF54" s="63">
        <f ca="1">AVERAGE(AF4:AF53)</f>
        <v>438.99527781563302</v>
      </c>
    </row>
  </sheetData>
  <mergeCells count="1">
    <mergeCell ref="AB2:AF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70064-E63C-41CC-9AFF-E74DE4A007DC}">
  <sheetPr codeName="Folha6"/>
  <dimension ref="B1:AI41"/>
  <sheetViews>
    <sheetView zoomScale="60" zoomScaleNormal="60" workbookViewId="0">
      <selection activeCell="L45" sqref="L45"/>
    </sheetView>
  </sheetViews>
  <sheetFormatPr defaultRowHeight="14.4"/>
  <cols>
    <col min="3" max="3" width="9.109375" customWidth="1"/>
    <col min="5" max="5" width="8.88671875" customWidth="1"/>
  </cols>
  <sheetData>
    <row r="1" spans="2:35" ht="18">
      <c r="B1" s="69" t="s">
        <v>105</v>
      </c>
      <c r="C1" s="69"/>
      <c r="D1" s="69"/>
      <c r="E1" s="69"/>
      <c r="F1" s="69"/>
      <c r="G1" s="69"/>
    </row>
    <row r="4" spans="2:35">
      <c r="B4" s="68" t="s">
        <v>104</v>
      </c>
      <c r="C4" s="66">
        <f t="shared" ref="C4:Q4" si="0">D4-(D4*0.05)</f>
        <v>2349.6924352280621</v>
      </c>
      <c r="D4" s="66">
        <f t="shared" si="0"/>
        <v>2473.3604581348022</v>
      </c>
      <c r="E4" s="66">
        <f t="shared" si="0"/>
        <v>2603.5373243524232</v>
      </c>
      <c r="F4" s="66">
        <f t="shared" si="0"/>
        <v>2740.5656045814981</v>
      </c>
      <c r="G4" s="66">
        <f t="shared" si="0"/>
        <v>2884.8058995594715</v>
      </c>
      <c r="H4" s="66">
        <f t="shared" si="0"/>
        <v>3036.6377890099702</v>
      </c>
      <c r="I4" s="66">
        <f t="shared" si="0"/>
        <v>3196.4608305368106</v>
      </c>
      <c r="J4" s="66">
        <f t="shared" si="0"/>
        <v>3364.6956110913798</v>
      </c>
      <c r="K4" s="66">
        <f t="shared" si="0"/>
        <v>3541.7848537803998</v>
      </c>
      <c r="L4" s="66">
        <f t="shared" si="0"/>
        <v>3728.1945829267365</v>
      </c>
      <c r="M4" s="66">
        <f t="shared" si="0"/>
        <v>3924.4153504491965</v>
      </c>
      <c r="N4" s="66">
        <f t="shared" si="0"/>
        <v>4130.9635267886279</v>
      </c>
      <c r="O4" s="66">
        <f t="shared" si="0"/>
        <v>4348.3826597775032</v>
      </c>
      <c r="P4" s="66">
        <f t="shared" si="0"/>
        <v>4577.2449050289506</v>
      </c>
      <c r="Q4" s="66">
        <f t="shared" si="0"/>
        <v>4818.1525316094221</v>
      </c>
      <c r="R4" s="66">
        <f>S4-(S4*0.05)</f>
        <v>5071.7395069572867</v>
      </c>
      <c r="S4" s="67">
        <f>'Modelo de Simulação'!B9</f>
        <v>5338.673165218197</v>
      </c>
      <c r="T4" s="66">
        <f>S4+(S4*0.05)</f>
        <v>5605.6068234791073</v>
      </c>
      <c r="U4" s="66">
        <f t="shared" ref="U4:AI4" si="1">T4+(T4*0.05)</f>
        <v>5885.8871646530624</v>
      </c>
      <c r="V4" s="66">
        <f t="shared" si="1"/>
        <v>6180.1815228857158</v>
      </c>
      <c r="W4" s="66">
        <f t="shared" si="1"/>
        <v>6489.190599030002</v>
      </c>
      <c r="X4" s="66">
        <f t="shared" si="1"/>
        <v>6813.6501289815023</v>
      </c>
      <c r="Y4" s="66">
        <f t="shared" si="1"/>
        <v>7154.3326354305773</v>
      </c>
      <c r="Z4" s="66">
        <f t="shared" si="1"/>
        <v>7512.0492672021064</v>
      </c>
      <c r="AA4" s="66">
        <f t="shared" si="1"/>
        <v>7887.6517305622119</v>
      </c>
      <c r="AB4" s="66">
        <f t="shared" si="1"/>
        <v>8282.0343170903234</v>
      </c>
      <c r="AC4" s="66">
        <f t="shared" si="1"/>
        <v>8696.1360329448398</v>
      </c>
      <c r="AD4" s="66">
        <f t="shared" si="1"/>
        <v>9130.9428345920824</v>
      </c>
      <c r="AE4" s="66">
        <f t="shared" si="1"/>
        <v>9587.4899763216872</v>
      </c>
      <c r="AF4" s="66">
        <f t="shared" si="1"/>
        <v>10066.864475137772</v>
      </c>
      <c r="AG4" s="66">
        <f t="shared" si="1"/>
        <v>10570.207698894661</v>
      </c>
      <c r="AH4" s="66">
        <f t="shared" si="1"/>
        <v>11098.718083839394</v>
      </c>
      <c r="AI4" s="66">
        <f t="shared" si="1"/>
        <v>11653.653988031365</v>
      </c>
    </row>
    <row r="5" spans="2:35">
      <c r="B5" s="66">
        <f t="shared" ref="B5:B19" si="2">B6-(B6*0.05)</f>
        <v>1875.4840094796605</v>
      </c>
      <c r="C5">
        <v>79547.192899999995</v>
      </c>
      <c r="D5">
        <v>68407.933600000004</v>
      </c>
      <c r="E5">
        <v>93305.617299999998</v>
      </c>
      <c r="F5">
        <v>61207.99</v>
      </c>
      <c r="G5">
        <v>92360.325200000007</v>
      </c>
      <c r="H5">
        <v>49195.694799999997</v>
      </c>
      <c r="I5">
        <v>51914.330999999998</v>
      </c>
      <c r="J5">
        <v>144436.42800000001</v>
      </c>
      <c r="K5">
        <v>48970.0962</v>
      </c>
      <c r="L5">
        <v>49281.092299999997</v>
      </c>
      <c r="M5">
        <v>107900.72</v>
      </c>
      <c r="N5">
        <v>62416.387199999997</v>
      </c>
      <c r="O5">
        <v>102006.43859999999</v>
      </c>
      <c r="P5">
        <v>84694.196299999996</v>
      </c>
      <c r="Q5">
        <v>90748.792600000001</v>
      </c>
      <c r="R5">
        <v>57431.1607</v>
      </c>
      <c r="S5" s="20">
        <v>55501.626400000001</v>
      </c>
      <c r="T5">
        <v>76524.670199999993</v>
      </c>
      <c r="U5">
        <v>68020.361799999999</v>
      </c>
      <c r="V5">
        <v>128166.2617</v>
      </c>
      <c r="W5">
        <v>72056.4283</v>
      </c>
      <c r="X5">
        <v>89957.129199999996</v>
      </c>
      <c r="Y5">
        <v>99141.641499999998</v>
      </c>
      <c r="Z5">
        <v>71833.060299999997</v>
      </c>
      <c r="AA5">
        <v>69355.463600000003</v>
      </c>
      <c r="AB5">
        <v>91784.621100000004</v>
      </c>
      <c r="AC5">
        <v>78721.618100000007</v>
      </c>
      <c r="AD5">
        <v>85919.191999999995</v>
      </c>
      <c r="AE5">
        <v>91040.766300000003</v>
      </c>
      <c r="AF5">
        <v>111391.59329999999</v>
      </c>
      <c r="AG5">
        <v>101977.78750000001</v>
      </c>
      <c r="AH5">
        <v>126347.45759999999</v>
      </c>
      <c r="AI5">
        <v>101697.2374</v>
      </c>
    </row>
    <row r="6" spans="2:35">
      <c r="B6" s="66">
        <f t="shared" si="2"/>
        <v>1974.1936941891163</v>
      </c>
      <c r="C6">
        <v>65410.881500000003</v>
      </c>
      <c r="D6">
        <v>78934.584099999993</v>
      </c>
      <c r="E6">
        <v>75280.373399999997</v>
      </c>
      <c r="F6">
        <v>80783.545899999997</v>
      </c>
      <c r="G6">
        <v>62619.2497</v>
      </c>
      <c r="H6">
        <v>48375.488899999997</v>
      </c>
      <c r="I6">
        <v>48266.404499999997</v>
      </c>
      <c r="J6">
        <v>49636.9594</v>
      </c>
      <c r="K6">
        <v>99433.1057</v>
      </c>
      <c r="L6">
        <v>130091.0251</v>
      </c>
      <c r="M6">
        <v>92233.101299999995</v>
      </c>
      <c r="N6">
        <v>129953.2285</v>
      </c>
      <c r="O6">
        <v>49054.2022</v>
      </c>
      <c r="P6">
        <v>111175.7072</v>
      </c>
      <c r="Q6">
        <v>55894.676899999999</v>
      </c>
      <c r="R6">
        <v>93367.683499999999</v>
      </c>
      <c r="S6" s="20">
        <v>58502.0749</v>
      </c>
      <c r="T6">
        <v>64303.314700000003</v>
      </c>
      <c r="U6">
        <v>62505.425199999998</v>
      </c>
      <c r="V6">
        <v>61439.128799999999</v>
      </c>
      <c r="W6">
        <v>99679.934699999998</v>
      </c>
      <c r="X6">
        <v>85521.569000000003</v>
      </c>
      <c r="Y6">
        <v>77428.036999999997</v>
      </c>
      <c r="Z6">
        <v>73420.353799999997</v>
      </c>
      <c r="AA6">
        <v>77058.171100000007</v>
      </c>
      <c r="AB6">
        <v>99477.436300000001</v>
      </c>
      <c r="AC6">
        <v>89083.092000000004</v>
      </c>
      <c r="AD6">
        <v>115573.4675</v>
      </c>
      <c r="AE6">
        <v>92948.470600000001</v>
      </c>
      <c r="AF6">
        <v>96705.846600000004</v>
      </c>
      <c r="AG6">
        <v>134326.67679999999</v>
      </c>
      <c r="AH6">
        <v>122147.1269</v>
      </c>
      <c r="AI6">
        <v>114286.4777</v>
      </c>
    </row>
    <row r="7" spans="2:35">
      <c r="B7" s="66">
        <f t="shared" si="2"/>
        <v>2078.0986254622276</v>
      </c>
      <c r="C7">
        <v>128706.59910000001</v>
      </c>
      <c r="D7">
        <v>94086.247900000002</v>
      </c>
      <c r="E7">
        <v>81726.191099999996</v>
      </c>
      <c r="F7">
        <v>71334.669800000003</v>
      </c>
      <c r="G7" s="83">
        <v>74198.869500000001</v>
      </c>
      <c r="H7">
        <v>52787.860800000002</v>
      </c>
      <c r="I7">
        <v>52518.320800000001</v>
      </c>
      <c r="J7">
        <v>53238.1921</v>
      </c>
      <c r="K7">
        <v>54122.378799999999</v>
      </c>
      <c r="L7">
        <v>50182.253499999999</v>
      </c>
      <c r="M7">
        <v>49159.428399999997</v>
      </c>
      <c r="N7">
        <v>85381.675000000003</v>
      </c>
      <c r="O7">
        <v>109302.8386</v>
      </c>
      <c r="P7">
        <v>69536.9764</v>
      </c>
      <c r="Q7">
        <v>93919.735700000005</v>
      </c>
      <c r="R7">
        <v>73969.505699999994</v>
      </c>
      <c r="S7" s="20">
        <v>59643.610800000002</v>
      </c>
      <c r="T7">
        <v>84979.201300000001</v>
      </c>
      <c r="U7">
        <v>62802.372600000002</v>
      </c>
      <c r="V7">
        <v>112317.4996</v>
      </c>
      <c r="W7">
        <v>66586.004700000005</v>
      </c>
      <c r="X7">
        <v>78280.2503</v>
      </c>
      <c r="Y7">
        <v>74482.435299999997</v>
      </c>
      <c r="Z7">
        <v>122030.8455</v>
      </c>
      <c r="AA7">
        <v>73872.407500000001</v>
      </c>
      <c r="AB7">
        <v>136177.976</v>
      </c>
      <c r="AC7">
        <v>85421.74</v>
      </c>
      <c r="AD7">
        <v>82904.848899999997</v>
      </c>
      <c r="AE7">
        <v>136598.56599999999</v>
      </c>
      <c r="AF7">
        <v>88788.997700000007</v>
      </c>
      <c r="AG7">
        <v>102177.27619999999</v>
      </c>
      <c r="AH7">
        <v>105433.1522</v>
      </c>
      <c r="AI7">
        <v>103258.8106</v>
      </c>
    </row>
    <row r="8" spans="2:35">
      <c r="B8" s="66">
        <f t="shared" si="2"/>
        <v>2187.4722373286604</v>
      </c>
      <c r="C8">
        <v>82139.010599999994</v>
      </c>
      <c r="D8">
        <v>99490.687399999995</v>
      </c>
      <c r="E8">
        <v>86074.278600000005</v>
      </c>
      <c r="F8">
        <v>83972.346699999995</v>
      </c>
      <c r="G8">
        <v>62869.702700000002</v>
      </c>
      <c r="H8">
        <v>75769.946800000005</v>
      </c>
      <c r="I8">
        <v>52592.887600000002</v>
      </c>
      <c r="J8">
        <v>51164.892</v>
      </c>
      <c r="K8">
        <v>53759.495000000003</v>
      </c>
      <c r="L8">
        <v>71428.373999999996</v>
      </c>
      <c r="M8">
        <v>129983.8719</v>
      </c>
      <c r="N8">
        <v>52914.323199999999</v>
      </c>
      <c r="O8">
        <v>48316.589899999999</v>
      </c>
      <c r="P8">
        <v>91322.552899999995</v>
      </c>
      <c r="Q8">
        <v>58782.712800000001</v>
      </c>
      <c r="R8">
        <v>55461.022599999997</v>
      </c>
      <c r="S8" s="20">
        <v>56835.737800000003</v>
      </c>
      <c r="T8">
        <v>71583.797300000006</v>
      </c>
      <c r="U8">
        <v>65651.318100000004</v>
      </c>
      <c r="V8">
        <v>63851.848700000002</v>
      </c>
      <c r="W8">
        <v>68072.459099999993</v>
      </c>
      <c r="X8">
        <v>63598.537400000001</v>
      </c>
      <c r="Y8">
        <v>73787.934999999998</v>
      </c>
      <c r="Z8">
        <v>75516.235799999995</v>
      </c>
      <c r="AA8">
        <v>82656.539499999999</v>
      </c>
      <c r="AB8">
        <v>90963.633499999996</v>
      </c>
      <c r="AC8">
        <v>98391.316999999995</v>
      </c>
      <c r="AD8">
        <v>89345.717199999999</v>
      </c>
      <c r="AE8">
        <v>99097.019799999995</v>
      </c>
      <c r="AF8">
        <v>100268.4489</v>
      </c>
      <c r="AG8">
        <v>102408.9371</v>
      </c>
      <c r="AH8">
        <v>109889.5192</v>
      </c>
      <c r="AI8">
        <v>127929.4537</v>
      </c>
    </row>
    <row r="9" spans="2:35">
      <c r="B9" s="66">
        <f t="shared" si="2"/>
        <v>2302.6023550828004</v>
      </c>
      <c r="C9">
        <v>97839.369099999996</v>
      </c>
      <c r="D9">
        <v>90518.394199999995</v>
      </c>
      <c r="E9">
        <v>81712.838099999994</v>
      </c>
      <c r="F9">
        <v>51755.684000000001</v>
      </c>
      <c r="G9">
        <v>54975.5792</v>
      </c>
      <c r="H9">
        <v>57325.205199999997</v>
      </c>
      <c r="I9">
        <v>48689.003400000001</v>
      </c>
      <c r="J9">
        <v>57058.772900000004</v>
      </c>
      <c r="K9">
        <v>55244.319900000002</v>
      </c>
      <c r="L9">
        <v>51753.857100000001</v>
      </c>
      <c r="M9">
        <v>52188.966699999997</v>
      </c>
      <c r="N9">
        <v>52279.154300000002</v>
      </c>
      <c r="O9">
        <v>65442.784</v>
      </c>
      <c r="P9">
        <v>67771.7071</v>
      </c>
      <c r="Q9">
        <v>73454.804099999994</v>
      </c>
      <c r="R9">
        <v>73987.500899999999</v>
      </c>
      <c r="S9" s="20">
        <v>54535.464399999997</v>
      </c>
      <c r="T9">
        <v>68852.049100000004</v>
      </c>
      <c r="U9">
        <v>62190.573400000001</v>
      </c>
      <c r="V9">
        <v>87725.995299999995</v>
      </c>
      <c r="W9">
        <v>120471.2037</v>
      </c>
      <c r="X9">
        <v>69891.641000000003</v>
      </c>
      <c r="Y9">
        <v>71352.049199999994</v>
      </c>
      <c r="Z9">
        <v>72979.495500000005</v>
      </c>
      <c r="AA9">
        <v>85917.406499999997</v>
      </c>
      <c r="AB9">
        <v>87929.9899</v>
      </c>
      <c r="AC9">
        <v>76838.633600000001</v>
      </c>
      <c r="AD9">
        <v>91654.717499999999</v>
      </c>
      <c r="AE9">
        <v>97140.095499999996</v>
      </c>
      <c r="AF9">
        <v>85593.512100000007</v>
      </c>
      <c r="AG9">
        <v>97779.835999999996</v>
      </c>
      <c r="AH9">
        <v>107021.62790000001</v>
      </c>
      <c r="AI9">
        <v>107745.8774</v>
      </c>
    </row>
    <row r="10" spans="2:35">
      <c r="B10" s="66">
        <f t="shared" si="2"/>
        <v>2423.7919527187373</v>
      </c>
      <c r="D10">
        <v>78740.330199999997</v>
      </c>
      <c r="E10">
        <v>49738.471899999997</v>
      </c>
      <c r="F10">
        <v>60716.5766</v>
      </c>
      <c r="G10">
        <v>62365.099000000002</v>
      </c>
      <c r="H10">
        <v>66126.3226</v>
      </c>
      <c r="I10">
        <v>52595.7719</v>
      </c>
      <c r="J10">
        <v>64211.438399999999</v>
      </c>
      <c r="K10">
        <v>56645.545400000003</v>
      </c>
      <c r="L10">
        <v>62099.931199999999</v>
      </c>
      <c r="M10">
        <v>58791.263200000001</v>
      </c>
      <c r="N10">
        <v>59648.860999999997</v>
      </c>
      <c r="O10">
        <v>102649.6553</v>
      </c>
      <c r="P10">
        <v>58989.713300000003</v>
      </c>
      <c r="Q10">
        <v>62437.877</v>
      </c>
      <c r="R10">
        <v>57926.868699999999</v>
      </c>
      <c r="S10" s="20">
        <v>57411.777199999997</v>
      </c>
      <c r="T10">
        <v>61442.626199999999</v>
      </c>
      <c r="U10">
        <v>64267.024700000002</v>
      </c>
      <c r="V10">
        <v>76376.853000000003</v>
      </c>
      <c r="W10">
        <v>88837.165800000002</v>
      </c>
      <c r="X10">
        <v>67495.501399999994</v>
      </c>
      <c r="Y10">
        <v>75745.233800000002</v>
      </c>
      <c r="Z10">
        <v>71141.894199999995</v>
      </c>
      <c r="AA10">
        <v>90324.715400000001</v>
      </c>
      <c r="AB10">
        <v>107219.37549999999</v>
      </c>
      <c r="AC10">
        <v>81021.419200000004</v>
      </c>
      <c r="AD10">
        <v>89502.721399999995</v>
      </c>
      <c r="AE10">
        <v>91008.277799999996</v>
      </c>
      <c r="AF10">
        <v>90789.831699999995</v>
      </c>
      <c r="AG10">
        <v>98747.529899999994</v>
      </c>
      <c r="AH10">
        <v>122968.0264</v>
      </c>
      <c r="AI10">
        <v>111345.58990000001</v>
      </c>
    </row>
    <row r="11" spans="2:35">
      <c r="B11" s="66">
        <f t="shared" si="2"/>
        <v>2551.35995023025</v>
      </c>
      <c r="E11" s="83">
        <v>99498.539000000004</v>
      </c>
      <c r="F11">
        <v>95705.736999999994</v>
      </c>
      <c r="G11">
        <v>64716.002999999997</v>
      </c>
      <c r="H11">
        <v>53244.613899999997</v>
      </c>
      <c r="I11">
        <v>50235.673799999997</v>
      </c>
      <c r="J11">
        <v>55636.85</v>
      </c>
      <c r="K11">
        <v>60245.658100000001</v>
      </c>
      <c r="L11">
        <v>61671.13</v>
      </c>
      <c r="M11">
        <v>64217.570099999997</v>
      </c>
      <c r="N11">
        <v>53654.2647</v>
      </c>
      <c r="O11">
        <v>58437.5268</v>
      </c>
      <c r="P11">
        <v>79439.242400000003</v>
      </c>
      <c r="Q11">
        <v>68705.902100000007</v>
      </c>
      <c r="R11">
        <v>57648.527399999999</v>
      </c>
      <c r="S11" s="20">
        <v>68976.606899999999</v>
      </c>
      <c r="T11">
        <v>59092.876900000003</v>
      </c>
      <c r="U11">
        <v>70742.217099999994</v>
      </c>
      <c r="V11">
        <v>64967.991000000002</v>
      </c>
      <c r="W11">
        <v>83588.774099999995</v>
      </c>
      <c r="X11">
        <v>100426.00049999999</v>
      </c>
      <c r="Y11">
        <v>80562.736399999994</v>
      </c>
      <c r="Z11">
        <v>74877.204299999998</v>
      </c>
      <c r="AA11">
        <v>74970.761100000003</v>
      </c>
      <c r="AB11">
        <v>89546.425399999993</v>
      </c>
      <c r="AC11">
        <v>88857.085000000006</v>
      </c>
      <c r="AD11">
        <v>94383.108800000002</v>
      </c>
      <c r="AE11">
        <v>95206.3992</v>
      </c>
      <c r="AF11">
        <v>99753.229000000007</v>
      </c>
      <c r="AG11">
        <v>97586.635399999999</v>
      </c>
      <c r="AH11">
        <v>104502.53479999999</v>
      </c>
      <c r="AI11">
        <v>103720.35279999999</v>
      </c>
    </row>
    <row r="12" spans="2:35">
      <c r="B12" s="66">
        <f t="shared" si="2"/>
        <v>2685.6420528739473</v>
      </c>
      <c r="F12">
        <v>76123.854200000002</v>
      </c>
      <c r="G12">
        <v>52309.0887</v>
      </c>
      <c r="H12">
        <v>56502.625599999999</v>
      </c>
      <c r="I12">
        <v>51075.691899999998</v>
      </c>
      <c r="J12">
        <v>56384.864200000004</v>
      </c>
      <c r="K12">
        <v>58277.874100000001</v>
      </c>
      <c r="L12">
        <v>61895.2166</v>
      </c>
      <c r="M12">
        <v>62989.923699999999</v>
      </c>
      <c r="N12">
        <v>61720.090799999998</v>
      </c>
      <c r="O12">
        <v>63242.386299999998</v>
      </c>
      <c r="P12">
        <v>59891.6711</v>
      </c>
      <c r="Q12">
        <v>57927.230100000001</v>
      </c>
      <c r="R12">
        <v>63682.073400000001</v>
      </c>
      <c r="S12" s="20">
        <v>64465.733500000002</v>
      </c>
      <c r="T12">
        <v>62350.376499999998</v>
      </c>
      <c r="U12">
        <v>72598.035399999993</v>
      </c>
      <c r="V12">
        <v>73364.323000000004</v>
      </c>
      <c r="W12">
        <v>72640.145999999993</v>
      </c>
      <c r="X12">
        <v>80968.665800000002</v>
      </c>
      <c r="Y12">
        <v>74635.042600000001</v>
      </c>
      <c r="Z12">
        <v>69274.452399999995</v>
      </c>
      <c r="AA12">
        <v>77741.305999999997</v>
      </c>
      <c r="AB12">
        <v>82447.42</v>
      </c>
      <c r="AC12">
        <v>89226.313800000004</v>
      </c>
      <c r="AD12">
        <v>90697.938899999994</v>
      </c>
      <c r="AE12">
        <v>97870.904999999999</v>
      </c>
      <c r="AF12">
        <v>102496.45759999999</v>
      </c>
      <c r="AG12">
        <v>103122.61380000001</v>
      </c>
      <c r="AH12">
        <v>106562.0352</v>
      </c>
      <c r="AI12">
        <v>112522.6182</v>
      </c>
    </row>
    <row r="13" spans="2:35">
      <c r="B13" s="66">
        <f t="shared" si="2"/>
        <v>2826.991634604155</v>
      </c>
      <c r="G13">
        <v>53619.929199999999</v>
      </c>
      <c r="H13">
        <v>55008.707900000001</v>
      </c>
      <c r="I13">
        <v>52469.011200000001</v>
      </c>
      <c r="J13">
        <v>56152.590199999999</v>
      </c>
      <c r="K13">
        <v>52672.914499999999</v>
      </c>
      <c r="L13">
        <v>57046.910799999998</v>
      </c>
      <c r="M13">
        <v>63918.838400000001</v>
      </c>
      <c r="N13">
        <v>67054.064400000003</v>
      </c>
      <c r="O13">
        <v>59910.244899999998</v>
      </c>
      <c r="P13">
        <v>70242.162599999996</v>
      </c>
      <c r="Q13">
        <v>61006.753299999997</v>
      </c>
      <c r="R13">
        <v>59683.794999999998</v>
      </c>
      <c r="S13" s="20">
        <v>61257.193700000003</v>
      </c>
      <c r="T13">
        <v>67311.214300000007</v>
      </c>
      <c r="U13">
        <v>69351.785799999998</v>
      </c>
      <c r="V13">
        <v>84131.032300000006</v>
      </c>
      <c r="W13">
        <v>73199.380900000004</v>
      </c>
      <c r="X13">
        <v>74244.162299999996</v>
      </c>
      <c r="Y13">
        <v>76554.445999999996</v>
      </c>
      <c r="Z13">
        <v>82562.585099999997</v>
      </c>
      <c r="AA13">
        <v>77814.655599999998</v>
      </c>
      <c r="AB13">
        <v>90328.309500000003</v>
      </c>
      <c r="AC13">
        <v>94479.366099999999</v>
      </c>
      <c r="AD13">
        <v>98739.786699999997</v>
      </c>
      <c r="AE13">
        <v>91023.537500000006</v>
      </c>
      <c r="AF13">
        <v>95127.545100000003</v>
      </c>
      <c r="AG13">
        <v>105669.912</v>
      </c>
      <c r="AH13">
        <v>99258.595600000001</v>
      </c>
      <c r="AI13">
        <v>103399.9074</v>
      </c>
    </row>
    <row r="14" spans="2:35">
      <c r="B14" s="66">
        <f t="shared" si="2"/>
        <v>2975.7806680043736</v>
      </c>
      <c r="H14">
        <v>65084.143400000001</v>
      </c>
      <c r="I14">
        <v>54298.0357</v>
      </c>
      <c r="J14">
        <v>57749.250500000002</v>
      </c>
      <c r="K14">
        <v>59299.323900000003</v>
      </c>
      <c r="L14">
        <v>60885.593099999998</v>
      </c>
      <c r="M14">
        <v>67647.0245</v>
      </c>
      <c r="N14">
        <v>69409.7929</v>
      </c>
      <c r="O14">
        <v>66637.758199999997</v>
      </c>
      <c r="P14">
        <v>65918.287100000001</v>
      </c>
      <c r="Q14">
        <v>67459.482300000003</v>
      </c>
      <c r="R14">
        <v>65021.003700000001</v>
      </c>
      <c r="S14" s="20">
        <v>60218.6587</v>
      </c>
      <c r="T14">
        <v>63997.340700000001</v>
      </c>
      <c r="U14">
        <v>76810.744000000006</v>
      </c>
      <c r="V14">
        <v>69792.447700000004</v>
      </c>
      <c r="W14">
        <v>75652.0429</v>
      </c>
      <c r="X14">
        <v>82215.949900000007</v>
      </c>
      <c r="Y14">
        <v>77421.886700000003</v>
      </c>
      <c r="Z14">
        <v>81837.569300000003</v>
      </c>
      <c r="AA14">
        <v>83743.366599999994</v>
      </c>
      <c r="AB14">
        <v>90114.344700000001</v>
      </c>
      <c r="AC14">
        <v>94176.476800000004</v>
      </c>
      <c r="AD14">
        <v>90901.455600000001</v>
      </c>
      <c r="AE14">
        <v>92165.125</v>
      </c>
      <c r="AF14">
        <v>93599.309299999994</v>
      </c>
      <c r="AG14">
        <v>100467.8456</v>
      </c>
      <c r="AH14">
        <v>114996.83749999999</v>
      </c>
      <c r="AI14">
        <v>110279.7821</v>
      </c>
    </row>
    <row r="15" spans="2:35">
      <c r="B15" s="66">
        <f t="shared" si="2"/>
        <v>3132.4007031624988</v>
      </c>
      <c r="I15">
        <v>53747.7526</v>
      </c>
      <c r="J15">
        <v>56395.254800000002</v>
      </c>
      <c r="K15">
        <v>59764.006699999998</v>
      </c>
      <c r="L15">
        <v>60289.538800000002</v>
      </c>
      <c r="M15">
        <v>64598.143600000003</v>
      </c>
      <c r="N15">
        <v>67726.556200000006</v>
      </c>
      <c r="O15">
        <v>67519.477700000003</v>
      </c>
      <c r="P15">
        <v>67325.788799999995</v>
      </c>
      <c r="Q15">
        <v>69197.174700000003</v>
      </c>
      <c r="R15">
        <v>67496.754199999996</v>
      </c>
      <c r="S15" s="20">
        <v>66393.473899999997</v>
      </c>
      <c r="T15">
        <v>71822.906400000007</v>
      </c>
      <c r="U15">
        <v>66153.2359</v>
      </c>
      <c r="V15">
        <v>67786.1728</v>
      </c>
      <c r="W15">
        <v>70774.103099999993</v>
      </c>
      <c r="X15">
        <v>79947.597599999994</v>
      </c>
      <c r="Y15">
        <v>79456.103400000007</v>
      </c>
      <c r="Z15">
        <v>78337.265499999994</v>
      </c>
      <c r="AA15">
        <v>81665.713799999998</v>
      </c>
      <c r="AB15">
        <v>87470.274900000004</v>
      </c>
      <c r="AC15">
        <v>90639.6967</v>
      </c>
      <c r="AD15">
        <v>90192.666599999997</v>
      </c>
      <c r="AE15">
        <v>99341.205000000002</v>
      </c>
      <c r="AF15">
        <v>105513.5343</v>
      </c>
      <c r="AG15">
        <v>102873.03509999999</v>
      </c>
      <c r="AH15">
        <v>105000.2019</v>
      </c>
      <c r="AI15">
        <v>115188.0612</v>
      </c>
    </row>
    <row r="16" spans="2:35">
      <c r="B16" s="66">
        <f t="shared" si="2"/>
        <v>3297.263898065788</v>
      </c>
      <c r="J16">
        <v>53090.475100000003</v>
      </c>
      <c r="K16">
        <v>59958.027099999999</v>
      </c>
      <c r="L16">
        <v>60953.933799999999</v>
      </c>
      <c r="M16">
        <v>65144.957499999997</v>
      </c>
      <c r="N16">
        <v>66722.201400000005</v>
      </c>
      <c r="O16">
        <v>68332.820900000006</v>
      </c>
      <c r="P16">
        <v>73501.247099999993</v>
      </c>
      <c r="Q16">
        <v>74379.995699999999</v>
      </c>
      <c r="R16">
        <v>71452.129199999996</v>
      </c>
      <c r="S16" s="20">
        <v>61784.566899999998</v>
      </c>
      <c r="T16">
        <v>68118.518500000006</v>
      </c>
      <c r="U16">
        <v>66402.850699999995</v>
      </c>
      <c r="V16">
        <v>77959.164199999999</v>
      </c>
      <c r="W16">
        <v>72797.707500000004</v>
      </c>
      <c r="X16">
        <v>78719.447700000004</v>
      </c>
      <c r="Y16">
        <v>79688.819199999998</v>
      </c>
      <c r="Z16">
        <v>89198.546600000001</v>
      </c>
      <c r="AA16">
        <v>82538.510999999999</v>
      </c>
      <c r="AB16">
        <v>91112.497799999997</v>
      </c>
      <c r="AC16">
        <v>95300.806200000006</v>
      </c>
      <c r="AD16">
        <v>97614.117100000003</v>
      </c>
      <c r="AE16">
        <v>100845.3158</v>
      </c>
      <c r="AF16">
        <v>105062.95729999999</v>
      </c>
      <c r="AG16">
        <v>112639.99770000001</v>
      </c>
      <c r="AH16">
        <v>116661.6499</v>
      </c>
      <c r="AI16">
        <v>128821.1747</v>
      </c>
    </row>
    <row r="17" spans="2:35">
      <c r="B17" s="66">
        <f t="shared" si="2"/>
        <v>3470.8041032271453</v>
      </c>
      <c r="K17">
        <v>57800.402699999999</v>
      </c>
      <c r="L17">
        <v>61207.933100000002</v>
      </c>
      <c r="M17">
        <v>67566.709499999997</v>
      </c>
      <c r="N17">
        <v>68465.849199999997</v>
      </c>
      <c r="O17">
        <v>71095.667799999996</v>
      </c>
      <c r="P17">
        <v>74434.536900000006</v>
      </c>
      <c r="Q17">
        <v>77506.664199999999</v>
      </c>
      <c r="R17">
        <v>72153.518599999996</v>
      </c>
      <c r="S17" s="20">
        <v>78089.115699999995</v>
      </c>
      <c r="T17">
        <v>77737.8796</v>
      </c>
      <c r="U17">
        <v>69622.816000000006</v>
      </c>
      <c r="V17">
        <v>78964.4859</v>
      </c>
      <c r="W17">
        <v>78763.897700000001</v>
      </c>
      <c r="X17">
        <v>88365.918799999999</v>
      </c>
      <c r="Y17">
        <v>90965.164399999994</v>
      </c>
      <c r="Z17">
        <v>84400.1584</v>
      </c>
      <c r="AA17">
        <v>85559.502399999998</v>
      </c>
      <c r="AB17">
        <v>87369.678700000004</v>
      </c>
      <c r="AC17">
        <v>91818.988700000002</v>
      </c>
      <c r="AD17">
        <v>101614.6318</v>
      </c>
      <c r="AE17">
        <v>105748.56789999999</v>
      </c>
      <c r="AF17">
        <v>103196.2444</v>
      </c>
      <c r="AG17">
        <v>110569.5612</v>
      </c>
      <c r="AH17">
        <v>110687.273</v>
      </c>
      <c r="AI17">
        <v>111701.06510000001</v>
      </c>
    </row>
    <row r="18" spans="2:35">
      <c r="B18" s="66">
        <f t="shared" si="2"/>
        <v>3653.4780033969951</v>
      </c>
      <c r="L18">
        <v>62826.136400000003</v>
      </c>
      <c r="M18">
        <v>64206.044800000003</v>
      </c>
      <c r="N18">
        <v>70577.044200000004</v>
      </c>
      <c r="O18">
        <v>70874.697</v>
      </c>
      <c r="P18">
        <v>75765.018800000005</v>
      </c>
      <c r="Q18">
        <v>81757.178700000004</v>
      </c>
      <c r="R18">
        <v>76971.799299999999</v>
      </c>
      <c r="S18" s="20">
        <v>79425.059399999998</v>
      </c>
      <c r="T18">
        <v>77473.731299999999</v>
      </c>
      <c r="U18">
        <v>81723.319399999993</v>
      </c>
      <c r="V18">
        <v>74477.003700000001</v>
      </c>
      <c r="W18">
        <v>74023.430099999998</v>
      </c>
      <c r="X18">
        <v>81783.114400000006</v>
      </c>
      <c r="Y18">
        <v>91299.968699999998</v>
      </c>
      <c r="Z18">
        <v>83858.539600000004</v>
      </c>
      <c r="AA18">
        <v>90428.9666</v>
      </c>
      <c r="AB18">
        <v>88887.795700000002</v>
      </c>
      <c r="AC18">
        <v>93500.598800000007</v>
      </c>
      <c r="AD18">
        <v>101464.1021</v>
      </c>
      <c r="AE18">
        <v>111833.56419999999</v>
      </c>
      <c r="AF18">
        <v>97705.152300000002</v>
      </c>
      <c r="AG18">
        <v>114466.5334</v>
      </c>
      <c r="AH18">
        <v>115975.4569</v>
      </c>
      <c r="AI18">
        <v>121194.4197</v>
      </c>
    </row>
    <row r="19" spans="2:35">
      <c r="B19" s="66">
        <f t="shared" si="2"/>
        <v>3845.7663193652579</v>
      </c>
      <c r="M19">
        <v>70305.916500000007</v>
      </c>
      <c r="N19">
        <v>73498.300199999998</v>
      </c>
      <c r="O19">
        <v>69535.453200000004</v>
      </c>
      <c r="P19">
        <v>76343.083400000003</v>
      </c>
      <c r="Q19">
        <v>77572.971600000004</v>
      </c>
      <c r="R19">
        <v>81680.055399999997</v>
      </c>
      <c r="S19" s="20">
        <v>82563.746100000004</v>
      </c>
      <c r="T19">
        <v>81253.826499999996</v>
      </c>
      <c r="U19">
        <v>78656.796600000001</v>
      </c>
      <c r="V19">
        <v>80700.604699999996</v>
      </c>
      <c r="W19">
        <v>78573.005099999995</v>
      </c>
      <c r="X19">
        <v>88967.099600000001</v>
      </c>
      <c r="Y19">
        <v>84362.228199999998</v>
      </c>
      <c r="Z19">
        <v>90380.727100000004</v>
      </c>
      <c r="AA19">
        <v>99328.629700000005</v>
      </c>
      <c r="AB19">
        <v>89740.313800000004</v>
      </c>
      <c r="AC19">
        <v>97232.826700000005</v>
      </c>
      <c r="AD19">
        <v>96829.682199999996</v>
      </c>
      <c r="AE19">
        <v>108464.6152</v>
      </c>
      <c r="AF19">
        <v>111216.3195</v>
      </c>
      <c r="AG19">
        <v>117411.1943</v>
      </c>
      <c r="AH19">
        <v>126496.1047</v>
      </c>
      <c r="AI19">
        <v>122013.8309</v>
      </c>
    </row>
    <row r="20" spans="2:35">
      <c r="B20" s="66">
        <f>B21-(B21*0.05)</f>
        <v>4048.1750730160611</v>
      </c>
      <c r="N20">
        <v>68229.425000000003</v>
      </c>
      <c r="O20">
        <v>73967.514200000005</v>
      </c>
      <c r="P20">
        <v>77071.279599999994</v>
      </c>
      <c r="Q20">
        <v>78139.297399999996</v>
      </c>
      <c r="R20">
        <v>84202.944399999993</v>
      </c>
      <c r="S20" s="20">
        <v>81137.170499999993</v>
      </c>
      <c r="T20">
        <v>85601.724600000001</v>
      </c>
      <c r="U20">
        <v>76848.065199999997</v>
      </c>
      <c r="V20">
        <v>76816.630499999999</v>
      </c>
      <c r="W20">
        <v>86849.712899999999</v>
      </c>
      <c r="X20">
        <v>92598.401100000003</v>
      </c>
      <c r="Y20">
        <v>84101.063200000004</v>
      </c>
      <c r="Z20">
        <v>95008.027300000002</v>
      </c>
      <c r="AA20">
        <v>93591.771200000003</v>
      </c>
      <c r="AB20">
        <v>97313.526500000007</v>
      </c>
      <c r="AC20">
        <v>104525.7996</v>
      </c>
      <c r="AD20">
        <v>104218.8331</v>
      </c>
      <c r="AE20">
        <v>107396.355</v>
      </c>
      <c r="AF20">
        <v>106961.553</v>
      </c>
      <c r="AG20">
        <v>115864.95510000001</v>
      </c>
      <c r="AH20">
        <v>110627.0206</v>
      </c>
      <c r="AI20">
        <v>135794.4411</v>
      </c>
    </row>
    <row r="21" spans="2:35">
      <c r="B21" s="67">
        <f>'Modelo de Simulação'!B8</f>
        <v>4261.236918964275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>
        <v>74242.5674</v>
      </c>
      <c r="P21" s="19">
        <v>74561.911200000002</v>
      </c>
      <c r="Q21" s="19">
        <v>80274.980800000005</v>
      </c>
      <c r="R21" s="19">
        <v>87155.1639</v>
      </c>
      <c r="S21" s="64">
        <v>85622.110199999996</v>
      </c>
      <c r="T21" s="19">
        <v>88883.268299999996</v>
      </c>
      <c r="U21" s="19">
        <v>85729.3462</v>
      </c>
      <c r="V21" s="19">
        <v>94595.962299999999</v>
      </c>
      <c r="W21" s="19">
        <v>88907.984700000001</v>
      </c>
      <c r="X21" s="19">
        <v>93867.556800000006</v>
      </c>
      <c r="Y21" s="19">
        <v>92447.603900000002</v>
      </c>
      <c r="Z21" s="19">
        <v>94276.469500000007</v>
      </c>
      <c r="AA21" s="19">
        <v>98003.388200000001</v>
      </c>
      <c r="AB21" s="19">
        <v>105435.61930000001</v>
      </c>
      <c r="AC21" s="19">
        <v>99492.9035</v>
      </c>
      <c r="AD21" s="19">
        <v>104231.9627</v>
      </c>
      <c r="AE21" s="19">
        <v>115097.8268</v>
      </c>
      <c r="AF21" s="19">
        <v>119777.7782</v>
      </c>
      <c r="AG21" s="19">
        <v>115524.8711</v>
      </c>
      <c r="AH21" s="19">
        <v>126636.33070000001</v>
      </c>
      <c r="AI21" s="19">
        <v>123009.0408</v>
      </c>
    </row>
    <row r="22" spans="2:35">
      <c r="B22" s="66">
        <f>B21+(B21*0.05)</f>
        <v>4474.2987649124889</v>
      </c>
      <c r="P22">
        <v>75131.611999999994</v>
      </c>
      <c r="Q22">
        <v>80103.536800000002</v>
      </c>
      <c r="R22">
        <v>84310.158200000005</v>
      </c>
      <c r="S22" s="20">
        <v>90317.867100000003</v>
      </c>
      <c r="T22">
        <v>92858.855599999995</v>
      </c>
      <c r="U22">
        <v>89768.231599999999</v>
      </c>
      <c r="V22">
        <v>93685.201000000001</v>
      </c>
      <c r="W22">
        <v>92300.573900000003</v>
      </c>
      <c r="X22">
        <v>92118.163700000005</v>
      </c>
      <c r="Y22">
        <v>96249.352100000004</v>
      </c>
      <c r="Z22">
        <v>98288.137000000002</v>
      </c>
      <c r="AA22">
        <v>102672.1137</v>
      </c>
      <c r="AB22">
        <v>100374.20570000001</v>
      </c>
      <c r="AC22">
        <v>105858.51979999999</v>
      </c>
      <c r="AD22">
        <v>106007.3259</v>
      </c>
      <c r="AE22">
        <v>114001.8175</v>
      </c>
      <c r="AF22">
        <v>121097.17909999999</v>
      </c>
      <c r="AG22">
        <v>128151.8771</v>
      </c>
      <c r="AH22">
        <v>125237.3557</v>
      </c>
      <c r="AI22">
        <v>131754.75289999999</v>
      </c>
    </row>
    <row r="23" spans="2:35">
      <c r="B23" s="66">
        <f t="shared" ref="B23:B37" si="3">B22+(B22*0.05)</f>
        <v>4698.0137031581135</v>
      </c>
      <c r="Q23">
        <v>82892.635899999994</v>
      </c>
      <c r="R23">
        <v>87169.093099999998</v>
      </c>
      <c r="S23" s="20">
        <v>91216.984700000001</v>
      </c>
      <c r="T23">
        <v>91733.603099999993</v>
      </c>
      <c r="U23">
        <v>98722.141499999998</v>
      </c>
      <c r="V23">
        <v>99421.703800000003</v>
      </c>
      <c r="W23">
        <v>96638.550600000002</v>
      </c>
      <c r="X23">
        <v>91642.166100000002</v>
      </c>
      <c r="Y23">
        <v>98213.731700000004</v>
      </c>
      <c r="Z23">
        <v>90543.814499999993</v>
      </c>
      <c r="AA23">
        <v>102845.7058</v>
      </c>
      <c r="AB23">
        <v>102994.4927</v>
      </c>
      <c r="AC23">
        <v>110123.3656</v>
      </c>
      <c r="AD23">
        <v>115208.64139999999</v>
      </c>
      <c r="AE23">
        <v>111283.4172</v>
      </c>
      <c r="AF23">
        <v>112915.4835</v>
      </c>
      <c r="AG23">
        <v>115142.8425</v>
      </c>
      <c r="AH23">
        <v>124836.07279999999</v>
      </c>
      <c r="AI23">
        <v>128721.41590000001</v>
      </c>
    </row>
    <row r="24" spans="2:35">
      <c r="B24" s="66">
        <f t="shared" si="3"/>
        <v>4932.9143883160195</v>
      </c>
      <c r="R24">
        <v>83482.467900000003</v>
      </c>
      <c r="S24" s="20">
        <v>88015.624100000001</v>
      </c>
      <c r="T24">
        <v>90025.6731</v>
      </c>
      <c r="U24">
        <v>99511.511199999994</v>
      </c>
      <c r="V24">
        <v>102379.97659999999</v>
      </c>
      <c r="W24">
        <v>98434.334900000002</v>
      </c>
      <c r="X24">
        <v>91634.953299999994</v>
      </c>
      <c r="Y24">
        <v>98172.104200000002</v>
      </c>
      <c r="Z24">
        <v>103801.7046</v>
      </c>
      <c r="AA24">
        <v>108186.1617</v>
      </c>
      <c r="AB24">
        <v>104227.9031</v>
      </c>
      <c r="AC24">
        <v>109106.4336</v>
      </c>
      <c r="AD24">
        <v>107664.25139999999</v>
      </c>
      <c r="AE24">
        <v>104232.20729999999</v>
      </c>
      <c r="AF24">
        <v>116911.9295</v>
      </c>
      <c r="AG24">
        <v>132232.64730000001</v>
      </c>
      <c r="AH24">
        <v>128626.62390000001</v>
      </c>
      <c r="AI24">
        <v>120230.5235</v>
      </c>
    </row>
    <row r="25" spans="2:35">
      <c r="B25" s="66">
        <f t="shared" si="3"/>
        <v>5179.5601077318206</v>
      </c>
      <c r="S25" s="20">
        <v>92539.622300000003</v>
      </c>
      <c r="T25">
        <v>90933.283200000005</v>
      </c>
      <c r="U25">
        <v>101321.9418</v>
      </c>
      <c r="V25">
        <v>103778.5557</v>
      </c>
      <c r="W25">
        <v>105008.88619999999</v>
      </c>
      <c r="X25">
        <v>100831.76639999999</v>
      </c>
      <c r="Y25">
        <v>106335.3226</v>
      </c>
      <c r="Z25">
        <v>100695.45909999999</v>
      </c>
      <c r="AA25">
        <v>103654.0765</v>
      </c>
      <c r="AB25">
        <v>107058.143</v>
      </c>
      <c r="AC25">
        <v>117765.2574</v>
      </c>
      <c r="AD25">
        <v>119843.18210000001</v>
      </c>
      <c r="AE25">
        <v>111242.34020000001</v>
      </c>
      <c r="AF25">
        <v>126085.0594</v>
      </c>
      <c r="AG25">
        <v>125614.8299</v>
      </c>
      <c r="AH25">
        <v>123440.9538</v>
      </c>
      <c r="AI25">
        <v>138493.57860000001</v>
      </c>
    </row>
    <row r="26" spans="2:35">
      <c r="B26" s="66">
        <f t="shared" si="3"/>
        <v>5438.5381131184113</v>
      </c>
      <c r="S26" s="20"/>
      <c r="T26">
        <v>90312.0723</v>
      </c>
      <c r="U26">
        <v>98048.445200000002</v>
      </c>
      <c r="V26">
        <v>103668.0071</v>
      </c>
      <c r="W26">
        <v>109237.3406</v>
      </c>
      <c r="X26">
        <v>111546.56140000001</v>
      </c>
      <c r="Y26">
        <v>110439.5672</v>
      </c>
      <c r="Z26">
        <v>108713.10309999999</v>
      </c>
      <c r="AA26">
        <v>106278.54090000001</v>
      </c>
      <c r="AB26">
        <v>106318.92969999999</v>
      </c>
      <c r="AC26">
        <v>112397.7853</v>
      </c>
      <c r="AD26">
        <v>120920.414</v>
      </c>
      <c r="AE26">
        <v>123555.44259999999</v>
      </c>
      <c r="AF26">
        <v>125528.8501</v>
      </c>
      <c r="AG26">
        <v>125285.8514</v>
      </c>
      <c r="AH26">
        <v>141206.44190000001</v>
      </c>
      <c r="AI26">
        <v>142069.71590000001</v>
      </c>
    </row>
    <row r="27" spans="2:35">
      <c r="B27" s="66">
        <f t="shared" si="3"/>
        <v>5710.4650187743318</v>
      </c>
      <c r="S27" s="20"/>
      <c r="U27">
        <v>100894.06969999999</v>
      </c>
      <c r="V27">
        <v>107393.4713</v>
      </c>
      <c r="W27">
        <v>105017.9889</v>
      </c>
      <c r="X27">
        <v>115809.7479</v>
      </c>
      <c r="Y27">
        <v>114369.0411</v>
      </c>
      <c r="Z27">
        <v>110087.03999999999</v>
      </c>
      <c r="AA27">
        <v>113402.9941</v>
      </c>
      <c r="AB27">
        <v>110643.0577</v>
      </c>
      <c r="AC27">
        <v>115751.3247</v>
      </c>
      <c r="AD27">
        <v>124638.08960000001</v>
      </c>
      <c r="AE27">
        <v>124634.37330000001</v>
      </c>
      <c r="AF27">
        <v>125274.94530000001</v>
      </c>
      <c r="AG27">
        <v>127288.8296</v>
      </c>
      <c r="AH27">
        <v>140714.8664</v>
      </c>
      <c r="AI27">
        <v>139745.22330000001</v>
      </c>
    </row>
    <row r="28" spans="2:35">
      <c r="B28" s="66">
        <f t="shared" si="3"/>
        <v>5995.9882697130488</v>
      </c>
      <c r="S28" s="20"/>
      <c r="V28">
        <v>106114.74589999999</v>
      </c>
      <c r="W28">
        <v>107038.83010000001</v>
      </c>
      <c r="X28">
        <v>114940.39629999999</v>
      </c>
      <c r="Y28">
        <v>121316.5573</v>
      </c>
      <c r="Z28">
        <v>118920.1865</v>
      </c>
      <c r="AA28">
        <v>119001.4388</v>
      </c>
      <c r="AB28">
        <v>108599.8107</v>
      </c>
      <c r="AC28">
        <v>121438.49099999999</v>
      </c>
      <c r="AD28">
        <v>127148.0885</v>
      </c>
      <c r="AE28">
        <v>124936.3245</v>
      </c>
      <c r="AF28">
        <v>128123.7062</v>
      </c>
      <c r="AG28">
        <v>132909.59460000001</v>
      </c>
      <c r="AH28">
        <v>134116.86799999999</v>
      </c>
      <c r="AI28">
        <v>139150.87280000001</v>
      </c>
    </row>
    <row r="29" spans="2:35">
      <c r="B29" s="66">
        <f t="shared" si="3"/>
        <v>6295.7876831987014</v>
      </c>
      <c r="S29" s="20"/>
      <c r="W29">
        <v>109163.8498</v>
      </c>
      <c r="X29">
        <v>113991.41190000001</v>
      </c>
      <c r="Y29">
        <v>117831.33749999999</v>
      </c>
      <c r="Z29">
        <v>122923.5912</v>
      </c>
      <c r="AA29">
        <v>123145.0021</v>
      </c>
      <c r="AB29">
        <v>128068.23299999999</v>
      </c>
      <c r="AC29">
        <v>123012.60490000001</v>
      </c>
      <c r="AD29">
        <v>128933.9146</v>
      </c>
      <c r="AE29">
        <v>130165.1305</v>
      </c>
      <c r="AF29">
        <v>137844.6035</v>
      </c>
      <c r="AG29">
        <v>139830.33040000001</v>
      </c>
      <c r="AH29">
        <v>146921.27439999999</v>
      </c>
      <c r="AI29">
        <v>151409.78880000001</v>
      </c>
    </row>
    <row r="30" spans="2:35">
      <c r="B30" s="66">
        <f t="shared" si="3"/>
        <v>6610.5770673586367</v>
      </c>
      <c r="S30" s="20"/>
      <c r="X30">
        <v>114573.3406</v>
      </c>
      <c r="Y30">
        <v>121100.9748</v>
      </c>
      <c r="Z30">
        <v>127311.5655</v>
      </c>
      <c r="AA30">
        <v>134556.57250000001</v>
      </c>
      <c r="AB30">
        <v>127164.485</v>
      </c>
      <c r="AC30">
        <v>128919.0637</v>
      </c>
      <c r="AD30">
        <v>130826.65330000001</v>
      </c>
      <c r="AE30">
        <v>134375.11790000001</v>
      </c>
      <c r="AF30">
        <v>133932.91829999999</v>
      </c>
      <c r="AG30">
        <v>141398.63810000001</v>
      </c>
      <c r="AH30">
        <v>142438.97279999999</v>
      </c>
      <c r="AI30">
        <v>149060.42230000001</v>
      </c>
    </row>
    <row r="31" spans="2:35">
      <c r="B31" s="66">
        <f t="shared" si="3"/>
        <v>6941.1059207265689</v>
      </c>
      <c r="S31" s="20"/>
      <c r="Y31">
        <v>120526.93309999999</v>
      </c>
      <c r="Z31">
        <v>122525.16929999999</v>
      </c>
      <c r="AA31">
        <v>136778.992</v>
      </c>
      <c r="AB31">
        <v>136274.28090000001</v>
      </c>
      <c r="AC31">
        <v>131448.4952</v>
      </c>
      <c r="AD31">
        <v>130528.84299999999</v>
      </c>
      <c r="AE31">
        <v>129944.61599999999</v>
      </c>
      <c r="AF31">
        <v>139622.06510000001</v>
      </c>
      <c r="AG31">
        <v>136992.20989999999</v>
      </c>
      <c r="AH31">
        <v>151134.5024</v>
      </c>
      <c r="AI31">
        <v>145330.6017</v>
      </c>
    </row>
    <row r="32" spans="2:35">
      <c r="B32" s="66">
        <f t="shared" si="3"/>
        <v>7288.1612167628973</v>
      </c>
      <c r="S32" s="20"/>
      <c r="Z32">
        <v>124338.5494</v>
      </c>
      <c r="AA32">
        <v>135326.86610000001</v>
      </c>
      <c r="AB32">
        <v>134749.0796</v>
      </c>
      <c r="AC32">
        <v>140334.17879999999</v>
      </c>
      <c r="AD32">
        <v>139874.62849999999</v>
      </c>
      <c r="AE32">
        <v>137196.28289999999</v>
      </c>
      <c r="AF32">
        <v>147803.3676</v>
      </c>
      <c r="AG32">
        <v>143653.16699999999</v>
      </c>
      <c r="AH32">
        <v>156863.6796</v>
      </c>
      <c r="AI32">
        <v>151256.13219999999</v>
      </c>
    </row>
    <row r="33" spans="2:35">
      <c r="B33" s="66">
        <f t="shared" si="3"/>
        <v>7652.5692776010419</v>
      </c>
      <c r="S33" s="20"/>
      <c r="AA33">
        <v>132651.54819999999</v>
      </c>
      <c r="AB33">
        <v>141867.8854</v>
      </c>
      <c r="AC33">
        <v>148192.9332</v>
      </c>
      <c r="AD33">
        <v>148758.01749999999</v>
      </c>
      <c r="AE33">
        <v>143945.4388</v>
      </c>
      <c r="AF33">
        <v>139480.83919999999</v>
      </c>
      <c r="AG33">
        <v>150405.81520000001</v>
      </c>
      <c r="AH33">
        <v>150695.08549999999</v>
      </c>
      <c r="AI33">
        <v>160043.9368</v>
      </c>
    </row>
    <row r="34" spans="2:35">
      <c r="B34" s="66">
        <f t="shared" si="3"/>
        <v>8035.1977414810935</v>
      </c>
      <c r="S34" s="20"/>
      <c r="AB34">
        <v>139179.51639999999</v>
      </c>
      <c r="AC34">
        <v>145377.58350000001</v>
      </c>
      <c r="AD34">
        <v>151477.75580000001</v>
      </c>
      <c r="AE34">
        <v>148120.70430000001</v>
      </c>
      <c r="AF34">
        <v>146802.56140000001</v>
      </c>
      <c r="AG34">
        <v>150975.92629999999</v>
      </c>
      <c r="AH34">
        <v>158393.9699</v>
      </c>
      <c r="AI34">
        <v>164764.9969</v>
      </c>
    </row>
    <row r="35" spans="2:35">
      <c r="B35" s="66">
        <f t="shared" si="3"/>
        <v>8436.9576285551484</v>
      </c>
      <c r="S35" s="20"/>
      <c r="AC35">
        <v>149098.2561</v>
      </c>
      <c r="AD35">
        <v>151608.29920000001</v>
      </c>
      <c r="AE35">
        <v>161938.29329999999</v>
      </c>
      <c r="AF35">
        <v>155397.85829999999</v>
      </c>
      <c r="AG35">
        <v>155415.1496</v>
      </c>
      <c r="AH35">
        <v>164662.64939999999</v>
      </c>
      <c r="AI35">
        <v>166830.64420000001</v>
      </c>
    </row>
    <row r="36" spans="2:35">
      <c r="B36" s="66">
        <f t="shared" si="3"/>
        <v>8858.8055099829053</v>
      </c>
      <c r="S36" s="20"/>
      <c r="AD36">
        <v>156118.7329</v>
      </c>
      <c r="AE36">
        <v>163768.84529999999</v>
      </c>
      <c r="AF36">
        <v>170833.58499999999</v>
      </c>
      <c r="AG36">
        <v>165076.2665</v>
      </c>
      <c r="AH36">
        <v>161952.78909999999</v>
      </c>
      <c r="AI36">
        <v>172074.5503</v>
      </c>
    </row>
    <row r="37" spans="2:35">
      <c r="B37" s="66">
        <f t="shared" si="3"/>
        <v>9301.7457854820514</v>
      </c>
      <c r="S37" s="20"/>
      <c r="AE37">
        <v>162605.93119999999</v>
      </c>
      <c r="AF37">
        <v>171828.97039999999</v>
      </c>
      <c r="AG37">
        <v>175044.93549999999</v>
      </c>
      <c r="AH37">
        <v>173287.30729999999</v>
      </c>
      <c r="AI37">
        <v>176018.27720000001</v>
      </c>
    </row>
    <row r="38" spans="2:35">
      <c r="S38" s="15"/>
    </row>
    <row r="40" spans="2:35">
      <c r="B40" s="20" t="s">
        <v>103</v>
      </c>
      <c r="C40" s="65">
        <v>2827</v>
      </c>
    </row>
    <row r="41" spans="2:35">
      <c r="B41" s="20" t="s">
        <v>13</v>
      </c>
      <c r="C41" s="65">
        <v>3037</v>
      </c>
      <c r="M41" s="83"/>
      <c r="N41" s="84" t="s">
        <v>125</v>
      </c>
      <c r="O41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3" name="Button 4">
              <controlPr defaultSize="0" print="0" autoFill="0" autoPict="0" macro="[0]!CT">
                <anchor moveWithCells="1" sizeWithCells="1">
                  <from>
                    <xdr:col>4</xdr:col>
                    <xdr:colOff>510540</xdr:colOff>
                    <xdr:row>38</xdr:row>
                    <xdr:rowOff>137160</xdr:rowOff>
                  </from>
                  <to>
                    <xdr:col>8</xdr:col>
                    <xdr:colOff>304800</xdr:colOff>
                    <xdr:row>41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291DC-8F20-4262-9331-1B3A77D05845}">
  <sheetPr codeName="Folha8"/>
  <dimension ref="B1:AI42"/>
  <sheetViews>
    <sheetView zoomScale="60" zoomScaleNormal="60" workbookViewId="0">
      <selection activeCell="J45" sqref="J45"/>
    </sheetView>
  </sheetViews>
  <sheetFormatPr defaultRowHeight="14.4"/>
  <sheetData>
    <row r="1" spans="2:35" ht="18">
      <c r="B1" s="69" t="s">
        <v>119</v>
      </c>
      <c r="C1" s="69"/>
      <c r="D1" s="69"/>
      <c r="E1" s="69"/>
      <c r="F1" s="69"/>
      <c r="G1" s="69"/>
    </row>
    <row r="4" spans="2:35">
      <c r="B4" s="68" t="s">
        <v>104</v>
      </c>
      <c r="C4" s="66">
        <f t="shared" ref="C4:Q4" si="0">D4-(D4*0.05)</f>
        <v>2349.6924352280621</v>
      </c>
      <c r="D4" s="66">
        <f t="shared" si="0"/>
        <v>2473.3604581348022</v>
      </c>
      <c r="E4" s="66">
        <f t="shared" si="0"/>
        <v>2603.5373243524232</v>
      </c>
      <c r="F4" s="66">
        <f t="shared" si="0"/>
        <v>2740.5656045814981</v>
      </c>
      <c r="G4" s="66">
        <f t="shared" si="0"/>
        <v>2884.8058995594715</v>
      </c>
      <c r="H4" s="66">
        <f t="shared" si="0"/>
        <v>3036.6377890099702</v>
      </c>
      <c r="I4" s="66">
        <f t="shared" si="0"/>
        <v>3196.4608305368106</v>
      </c>
      <c r="J4" s="66">
        <f t="shared" si="0"/>
        <v>3364.6956110913798</v>
      </c>
      <c r="K4" s="66">
        <f t="shared" si="0"/>
        <v>3541.7848537803998</v>
      </c>
      <c r="L4" s="66">
        <f t="shared" si="0"/>
        <v>3728.1945829267365</v>
      </c>
      <c r="M4" s="66">
        <f t="shared" si="0"/>
        <v>3924.4153504491965</v>
      </c>
      <c r="N4" s="66">
        <f t="shared" si="0"/>
        <v>4130.9635267886279</v>
      </c>
      <c r="O4" s="66">
        <f t="shared" si="0"/>
        <v>4348.3826597775032</v>
      </c>
      <c r="P4" s="66">
        <f t="shared" si="0"/>
        <v>4577.2449050289506</v>
      </c>
      <c r="Q4" s="66">
        <f t="shared" si="0"/>
        <v>4818.1525316094221</v>
      </c>
      <c r="R4" s="66">
        <f>S4-(S4*0.05)</f>
        <v>5071.7395069572867</v>
      </c>
      <c r="S4" s="67">
        <f>'Modelo de Simulação'!B9</f>
        <v>5338.673165218197</v>
      </c>
      <c r="T4" s="66">
        <f>S4+(S4*0.05)</f>
        <v>5605.6068234791073</v>
      </c>
      <c r="U4" s="66">
        <f t="shared" ref="U4:AI4" si="1">T4+(T4*0.05)</f>
        <v>5885.8871646530624</v>
      </c>
      <c r="V4" s="66">
        <f t="shared" si="1"/>
        <v>6180.1815228857158</v>
      </c>
      <c r="W4" s="66">
        <f t="shared" si="1"/>
        <v>6489.190599030002</v>
      </c>
      <c r="X4" s="66">
        <f t="shared" si="1"/>
        <v>6813.6501289815023</v>
      </c>
      <c r="Y4" s="66">
        <f t="shared" si="1"/>
        <v>7154.3326354305773</v>
      </c>
      <c r="Z4" s="66">
        <f t="shared" si="1"/>
        <v>7512.0492672021064</v>
      </c>
      <c r="AA4" s="66">
        <f t="shared" si="1"/>
        <v>7887.6517305622119</v>
      </c>
      <c r="AB4" s="66">
        <f t="shared" si="1"/>
        <v>8282.0343170903234</v>
      </c>
      <c r="AC4" s="66">
        <f t="shared" si="1"/>
        <v>8696.1360329448398</v>
      </c>
      <c r="AD4" s="66">
        <f t="shared" si="1"/>
        <v>9130.9428345920824</v>
      </c>
      <c r="AE4" s="66">
        <f t="shared" si="1"/>
        <v>9587.4899763216872</v>
      </c>
      <c r="AF4" s="66">
        <f t="shared" si="1"/>
        <v>10066.864475137772</v>
      </c>
      <c r="AG4" s="66">
        <f t="shared" si="1"/>
        <v>10570.207698894661</v>
      </c>
      <c r="AH4" s="66">
        <f t="shared" si="1"/>
        <v>11098.718083839394</v>
      </c>
      <c r="AI4" s="66">
        <f t="shared" si="1"/>
        <v>11653.653988031365</v>
      </c>
    </row>
    <row r="5" spans="2:35">
      <c r="B5" s="66">
        <f t="shared" ref="B5:B19" si="2">B6-(B6*0.05)</f>
        <v>1875.4840094796605</v>
      </c>
      <c r="C5">
        <v>0.86</v>
      </c>
      <c r="D5">
        <v>0.9</v>
      </c>
      <c r="E5">
        <v>0.92</v>
      </c>
      <c r="F5">
        <v>0.94</v>
      </c>
      <c r="G5">
        <v>0.96</v>
      </c>
      <c r="H5">
        <v>1</v>
      </c>
      <c r="I5">
        <v>0.98</v>
      </c>
      <c r="J5">
        <v>0.96</v>
      </c>
      <c r="K5">
        <v>1</v>
      </c>
      <c r="L5">
        <v>0.96</v>
      </c>
      <c r="M5">
        <v>0.94</v>
      </c>
      <c r="N5">
        <v>0.88</v>
      </c>
      <c r="O5">
        <v>0.94</v>
      </c>
      <c r="P5">
        <v>0.98</v>
      </c>
      <c r="Q5">
        <v>0.98</v>
      </c>
      <c r="R5">
        <v>0.98</v>
      </c>
      <c r="S5" s="19">
        <v>1</v>
      </c>
      <c r="T5">
        <v>0.96</v>
      </c>
      <c r="U5">
        <v>0.98</v>
      </c>
      <c r="V5">
        <v>1</v>
      </c>
      <c r="W5">
        <v>0.96</v>
      </c>
      <c r="X5">
        <v>0.98</v>
      </c>
      <c r="Y5">
        <v>1</v>
      </c>
      <c r="Z5">
        <v>1</v>
      </c>
      <c r="AA5">
        <v>1</v>
      </c>
      <c r="AB5">
        <v>1</v>
      </c>
      <c r="AC5">
        <v>0.96</v>
      </c>
      <c r="AD5">
        <v>1</v>
      </c>
      <c r="AE5">
        <v>1</v>
      </c>
      <c r="AF5">
        <v>1</v>
      </c>
      <c r="AG5">
        <v>1</v>
      </c>
      <c r="AH5">
        <v>0.98</v>
      </c>
      <c r="AI5">
        <v>1</v>
      </c>
    </row>
    <row r="6" spans="2:35">
      <c r="B6" s="66">
        <f t="shared" si="2"/>
        <v>1974.1936941891163</v>
      </c>
      <c r="C6">
        <v>0.92</v>
      </c>
      <c r="D6">
        <v>0.96</v>
      </c>
      <c r="E6">
        <v>0.94</v>
      </c>
      <c r="F6">
        <v>0.94</v>
      </c>
      <c r="G6">
        <v>0.98</v>
      </c>
      <c r="H6">
        <v>1</v>
      </c>
      <c r="I6">
        <v>1</v>
      </c>
      <c r="J6">
        <v>0.98</v>
      </c>
      <c r="K6">
        <v>0.98</v>
      </c>
      <c r="L6">
        <v>1</v>
      </c>
      <c r="M6">
        <v>0.98</v>
      </c>
      <c r="N6">
        <v>0.92</v>
      </c>
      <c r="O6">
        <v>0.9</v>
      </c>
      <c r="P6">
        <v>0.94</v>
      </c>
      <c r="Q6">
        <v>0.98</v>
      </c>
      <c r="R6">
        <v>0.98</v>
      </c>
      <c r="S6" s="19">
        <v>0.98</v>
      </c>
      <c r="T6">
        <v>0.94</v>
      </c>
      <c r="U6">
        <v>1</v>
      </c>
      <c r="V6">
        <v>1</v>
      </c>
      <c r="W6">
        <v>1</v>
      </c>
      <c r="X6">
        <v>0.94</v>
      </c>
      <c r="Y6">
        <v>0.98</v>
      </c>
      <c r="Z6">
        <v>0.98</v>
      </c>
      <c r="AA6">
        <v>1</v>
      </c>
      <c r="AB6">
        <v>0.92</v>
      </c>
      <c r="AC6">
        <v>1</v>
      </c>
      <c r="AD6">
        <v>0.96</v>
      </c>
      <c r="AE6">
        <v>1</v>
      </c>
      <c r="AF6">
        <v>1</v>
      </c>
      <c r="AG6">
        <v>1</v>
      </c>
      <c r="AH6">
        <v>1</v>
      </c>
      <c r="AI6">
        <v>0.98</v>
      </c>
    </row>
    <row r="7" spans="2:35">
      <c r="B7" s="66">
        <f t="shared" si="2"/>
        <v>2078.0986254622276</v>
      </c>
      <c r="C7">
        <v>0.86</v>
      </c>
      <c r="D7">
        <v>0.94</v>
      </c>
      <c r="E7">
        <v>0.9</v>
      </c>
      <c r="F7">
        <v>0.92</v>
      </c>
      <c r="G7">
        <v>1</v>
      </c>
      <c r="H7">
        <v>0.94</v>
      </c>
      <c r="I7">
        <v>0.98</v>
      </c>
      <c r="J7">
        <v>1</v>
      </c>
      <c r="K7">
        <v>0.98</v>
      </c>
      <c r="L7">
        <v>0.98</v>
      </c>
      <c r="M7">
        <v>0.98</v>
      </c>
      <c r="N7">
        <v>0.96</v>
      </c>
      <c r="O7">
        <v>1</v>
      </c>
      <c r="P7">
        <v>0.96</v>
      </c>
      <c r="Q7">
        <v>1</v>
      </c>
      <c r="R7">
        <v>1</v>
      </c>
      <c r="S7" s="19">
        <v>0.98</v>
      </c>
      <c r="T7">
        <v>1</v>
      </c>
      <c r="U7">
        <v>1</v>
      </c>
      <c r="V7">
        <v>1</v>
      </c>
      <c r="W7">
        <v>0.96</v>
      </c>
      <c r="X7">
        <v>0.96</v>
      </c>
      <c r="Y7">
        <v>1</v>
      </c>
      <c r="Z7">
        <v>1</v>
      </c>
      <c r="AA7">
        <v>1</v>
      </c>
      <c r="AB7">
        <v>1</v>
      </c>
      <c r="AC7">
        <v>1</v>
      </c>
      <c r="AD7">
        <v>0.98</v>
      </c>
      <c r="AE7">
        <v>1</v>
      </c>
      <c r="AF7">
        <v>1</v>
      </c>
      <c r="AG7">
        <v>0.98</v>
      </c>
      <c r="AH7">
        <v>0.98</v>
      </c>
      <c r="AI7">
        <v>1</v>
      </c>
    </row>
    <row r="8" spans="2:35">
      <c r="B8" s="66">
        <f t="shared" si="2"/>
        <v>2187.4722373286604</v>
      </c>
      <c r="C8">
        <v>0.9</v>
      </c>
      <c r="D8">
        <v>0.92</v>
      </c>
      <c r="E8">
        <v>0.92</v>
      </c>
      <c r="F8">
        <v>0.96</v>
      </c>
      <c r="G8">
        <v>0.96</v>
      </c>
      <c r="H8">
        <v>0.94</v>
      </c>
      <c r="I8">
        <v>0.96</v>
      </c>
      <c r="J8">
        <v>0.96</v>
      </c>
      <c r="K8">
        <v>1</v>
      </c>
      <c r="L8">
        <v>0.98</v>
      </c>
      <c r="M8">
        <v>0.98</v>
      </c>
      <c r="N8">
        <v>0.94</v>
      </c>
      <c r="O8">
        <v>0.94</v>
      </c>
      <c r="P8">
        <v>0.94</v>
      </c>
      <c r="Q8">
        <v>0.98</v>
      </c>
      <c r="R8">
        <v>0.98</v>
      </c>
      <c r="S8" s="19">
        <v>1</v>
      </c>
      <c r="T8">
        <v>1</v>
      </c>
      <c r="U8">
        <v>1</v>
      </c>
      <c r="V8">
        <v>1</v>
      </c>
      <c r="W8">
        <v>1</v>
      </c>
      <c r="X8">
        <v>0.98</v>
      </c>
      <c r="Y8">
        <v>0.96</v>
      </c>
      <c r="Z8">
        <v>1</v>
      </c>
      <c r="AA8">
        <v>1</v>
      </c>
      <c r="AB8">
        <v>1</v>
      </c>
      <c r="AC8">
        <v>1</v>
      </c>
      <c r="AD8">
        <v>1</v>
      </c>
      <c r="AE8">
        <v>0.96</v>
      </c>
      <c r="AF8">
        <v>1</v>
      </c>
      <c r="AG8">
        <v>0.98</v>
      </c>
      <c r="AH8">
        <v>1</v>
      </c>
      <c r="AI8">
        <v>0.98</v>
      </c>
    </row>
    <row r="9" spans="2:35">
      <c r="B9" s="66">
        <f t="shared" si="2"/>
        <v>2302.6023550828004</v>
      </c>
      <c r="C9">
        <v>0.92</v>
      </c>
      <c r="D9">
        <v>0.94</v>
      </c>
      <c r="E9">
        <v>0.9</v>
      </c>
      <c r="F9">
        <v>0.94</v>
      </c>
      <c r="G9">
        <v>0.96</v>
      </c>
      <c r="H9">
        <v>0.98</v>
      </c>
      <c r="I9">
        <v>1</v>
      </c>
      <c r="J9">
        <v>1</v>
      </c>
      <c r="K9">
        <v>1</v>
      </c>
      <c r="L9">
        <v>1</v>
      </c>
      <c r="M9">
        <v>0.98</v>
      </c>
      <c r="N9">
        <v>1</v>
      </c>
      <c r="O9">
        <v>0.96</v>
      </c>
      <c r="P9">
        <v>0.96</v>
      </c>
      <c r="Q9">
        <v>0.96</v>
      </c>
      <c r="R9">
        <v>0.96</v>
      </c>
      <c r="S9" s="19">
        <v>0.98</v>
      </c>
      <c r="T9">
        <v>1</v>
      </c>
      <c r="U9">
        <v>1</v>
      </c>
      <c r="V9">
        <v>1</v>
      </c>
      <c r="W9">
        <v>0.96</v>
      </c>
      <c r="X9">
        <v>1</v>
      </c>
      <c r="Y9">
        <v>1</v>
      </c>
      <c r="Z9">
        <v>1</v>
      </c>
      <c r="AA9">
        <v>1</v>
      </c>
      <c r="AB9">
        <v>1</v>
      </c>
      <c r="AC9">
        <v>0.96</v>
      </c>
      <c r="AD9">
        <v>1</v>
      </c>
      <c r="AE9">
        <v>1</v>
      </c>
      <c r="AF9">
        <v>1</v>
      </c>
      <c r="AG9">
        <v>1</v>
      </c>
      <c r="AH9">
        <v>1</v>
      </c>
      <c r="AI9">
        <v>1</v>
      </c>
    </row>
    <row r="10" spans="2:35">
      <c r="B10" s="66">
        <f t="shared" si="2"/>
        <v>2423.7919527187373</v>
      </c>
      <c r="D10">
        <v>0.92</v>
      </c>
      <c r="E10">
        <v>0.98</v>
      </c>
      <c r="F10">
        <v>0.98</v>
      </c>
      <c r="G10">
        <v>0.98</v>
      </c>
      <c r="H10">
        <v>0.96</v>
      </c>
      <c r="I10">
        <v>0.96</v>
      </c>
      <c r="J10">
        <v>0.98</v>
      </c>
      <c r="K10">
        <v>1</v>
      </c>
      <c r="L10">
        <v>1</v>
      </c>
      <c r="M10">
        <v>0.98</v>
      </c>
      <c r="N10">
        <v>1</v>
      </c>
      <c r="O10">
        <v>1</v>
      </c>
      <c r="P10">
        <v>0.94</v>
      </c>
      <c r="Q10">
        <v>0.94</v>
      </c>
      <c r="R10">
        <v>0.98</v>
      </c>
      <c r="S10" s="19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0.98</v>
      </c>
      <c r="Z10">
        <v>1</v>
      </c>
      <c r="AA10">
        <v>0.96</v>
      </c>
      <c r="AB10">
        <v>1</v>
      </c>
      <c r="AC10">
        <v>1</v>
      </c>
      <c r="AD10">
        <v>0.98</v>
      </c>
      <c r="AE10">
        <v>1</v>
      </c>
      <c r="AF10">
        <v>1</v>
      </c>
      <c r="AG10">
        <v>1</v>
      </c>
      <c r="AH10">
        <v>1</v>
      </c>
      <c r="AI10">
        <v>0.98</v>
      </c>
    </row>
    <row r="11" spans="2:35">
      <c r="B11" s="66">
        <f t="shared" si="2"/>
        <v>2551.35995023025</v>
      </c>
      <c r="E11">
        <v>0.94</v>
      </c>
      <c r="F11">
        <v>0.96</v>
      </c>
      <c r="G11">
        <v>0.98</v>
      </c>
      <c r="H11">
        <v>0.96</v>
      </c>
      <c r="I11">
        <v>0.98</v>
      </c>
      <c r="J11">
        <v>1</v>
      </c>
      <c r="K11">
        <v>1</v>
      </c>
      <c r="L11">
        <v>1</v>
      </c>
      <c r="M11">
        <v>1</v>
      </c>
      <c r="N11">
        <v>0.98</v>
      </c>
      <c r="O11">
        <v>1</v>
      </c>
      <c r="P11">
        <v>1</v>
      </c>
      <c r="Q11">
        <v>1</v>
      </c>
      <c r="R11">
        <v>0.98</v>
      </c>
      <c r="S11" s="19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0.98</v>
      </c>
      <c r="AA11">
        <v>1</v>
      </c>
      <c r="AB11">
        <v>1</v>
      </c>
      <c r="AC11">
        <v>1</v>
      </c>
      <c r="AD11">
        <v>0.98</v>
      </c>
      <c r="AE11">
        <v>1</v>
      </c>
      <c r="AF11">
        <v>1</v>
      </c>
      <c r="AG11">
        <v>1</v>
      </c>
      <c r="AH11">
        <v>1</v>
      </c>
      <c r="AI11">
        <v>1</v>
      </c>
    </row>
    <row r="12" spans="2:35">
      <c r="B12" s="66">
        <f t="shared" si="2"/>
        <v>2685.6420528739473</v>
      </c>
      <c r="F12">
        <v>0.96</v>
      </c>
      <c r="G12">
        <v>0.92</v>
      </c>
      <c r="H12">
        <v>0.96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0.96</v>
      </c>
      <c r="R12">
        <v>1</v>
      </c>
      <c r="S12" s="19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0.98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</row>
    <row r="13" spans="2:35">
      <c r="B13" s="66">
        <f t="shared" si="2"/>
        <v>2826.991634604155</v>
      </c>
      <c r="G13">
        <v>0.94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 s="19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</row>
    <row r="14" spans="2:35">
      <c r="B14" s="66">
        <f t="shared" si="2"/>
        <v>2975.7806680043736</v>
      </c>
      <c r="H14">
        <v>1</v>
      </c>
      <c r="I14">
        <v>0.98</v>
      </c>
      <c r="J14">
        <v>0.98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 s="19">
        <v>1</v>
      </c>
      <c r="T14">
        <v>1</v>
      </c>
      <c r="U14">
        <v>0.98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</row>
    <row r="15" spans="2:35">
      <c r="B15" s="66">
        <f t="shared" si="2"/>
        <v>3132.4007031624988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 s="19">
        <v>0.98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1</v>
      </c>
    </row>
    <row r="16" spans="2:35">
      <c r="B16" s="66">
        <f t="shared" si="2"/>
        <v>3297.263898065788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 s="19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</row>
    <row r="17" spans="2:35">
      <c r="B17" s="66">
        <f t="shared" si="2"/>
        <v>3470.8041032271453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 s="19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</row>
    <row r="18" spans="2:35">
      <c r="B18" s="66">
        <f t="shared" si="2"/>
        <v>3653.4780033969951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 s="19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</row>
    <row r="19" spans="2:35">
      <c r="B19" s="66">
        <f t="shared" si="2"/>
        <v>3845.7663193652579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 s="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</row>
    <row r="20" spans="2:35">
      <c r="B20" s="66">
        <f>B21-(B21*0.05)</f>
        <v>4048.1750730160611</v>
      </c>
      <c r="N20">
        <v>1</v>
      </c>
      <c r="O20">
        <v>1</v>
      </c>
      <c r="P20">
        <v>1</v>
      </c>
      <c r="Q20">
        <v>1</v>
      </c>
      <c r="R20">
        <v>1</v>
      </c>
      <c r="S20" s="19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H20">
        <v>1</v>
      </c>
      <c r="AI20">
        <v>1</v>
      </c>
    </row>
    <row r="21" spans="2:35">
      <c r="B21" s="67">
        <f>'Modelo de Simulação'!B8</f>
        <v>4261.236918964275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>
        <v>1</v>
      </c>
      <c r="P21" s="19">
        <v>1</v>
      </c>
      <c r="Q21" s="19">
        <v>1</v>
      </c>
      <c r="R21" s="19">
        <v>1</v>
      </c>
      <c r="S21" s="73">
        <v>1</v>
      </c>
      <c r="T21" s="19">
        <v>1</v>
      </c>
      <c r="U21" s="19">
        <v>1</v>
      </c>
      <c r="V21" s="19">
        <v>1</v>
      </c>
      <c r="W21" s="19">
        <v>1</v>
      </c>
      <c r="X21" s="19">
        <v>1</v>
      </c>
      <c r="Y21" s="19">
        <v>1</v>
      </c>
      <c r="Z21" s="19">
        <v>1</v>
      </c>
      <c r="AA21" s="19">
        <v>1</v>
      </c>
      <c r="AB21" s="19">
        <v>1</v>
      </c>
      <c r="AC21" s="19">
        <v>1</v>
      </c>
      <c r="AD21" s="19">
        <v>1</v>
      </c>
      <c r="AE21" s="19">
        <v>1</v>
      </c>
      <c r="AF21" s="19">
        <v>1</v>
      </c>
      <c r="AG21" s="19">
        <v>1</v>
      </c>
      <c r="AH21" s="19">
        <v>1</v>
      </c>
      <c r="AI21" s="19">
        <v>1</v>
      </c>
    </row>
    <row r="22" spans="2:35">
      <c r="B22" s="66">
        <f>B21+(B21*0.05)</f>
        <v>4474.2987649124889</v>
      </c>
      <c r="P22">
        <v>1</v>
      </c>
      <c r="Q22">
        <v>1</v>
      </c>
      <c r="R22">
        <v>1</v>
      </c>
      <c r="S22" s="19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</row>
    <row r="23" spans="2:35">
      <c r="B23" s="66">
        <f t="shared" ref="B23:B37" si="3">B22+(B22*0.05)</f>
        <v>4698.0137031581135</v>
      </c>
      <c r="Q23">
        <v>1</v>
      </c>
      <c r="R23">
        <v>1</v>
      </c>
      <c r="S23" s="19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</row>
    <row r="24" spans="2:35">
      <c r="B24" s="66">
        <f t="shared" si="3"/>
        <v>4932.9143883160195</v>
      </c>
      <c r="R24">
        <v>1</v>
      </c>
      <c r="S24" s="19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1</v>
      </c>
      <c r="AH24">
        <v>1</v>
      </c>
      <c r="AI24">
        <v>1</v>
      </c>
    </row>
    <row r="25" spans="2:35">
      <c r="B25" s="66">
        <f t="shared" si="3"/>
        <v>5179.5601077318206</v>
      </c>
      <c r="S25" s="19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</row>
    <row r="26" spans="2:35">
      <c r="B26" s="66">
        <f t="shared" si="3"/>
        <v>5438.5381131184113</v>
      </c>
      <c r="S26" s="19"/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  <c r="AI26">
        <v>1</v>
      </c>
    </row>
    <row r="27" spans="2:35">
      <c r="B27" s="66">
        <f t="shared" si="3"/>
        <v>5710.4650187743318</v>
      </c>
      <c r="S27" s="19"/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</row>
    <row r="28" spans="2:35">
      <c r="B28" s="66">
        <f t="shared" si="3"/>
        <v>5995.9882697130488</v>
      </c>
      <c r="S28" s="19"/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>
        <v>1</v>
      </c>
      <c r="AH28">
        <v>1</v>
      </c>
      <c r="AI28">
        <v>1</v>
      </c>
    </row>
    <row r="29" spans="2:35">
      <c r="B29" s="66">
        <f t="shared" si="3"/>
        <v>6295.7876831987014</v>
      </c>
      <c r="S29" s="19"/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>
        <v>1</v>
      </c>
      <c r="AH29">
        <v>1</v>
      </c>
      <c r="AI29">
        <v>1</v>
      </c>
    </row>
    <row r="30" spans="2:35">
      <c r="B30" s="66">
        <f t="shared" si="3"/>
        <v>6610.5770673586367</v>
      </c>
      <c r="S30" s="19"/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  <c r="AI30">
        <v>1</v>
      </c>
    </row>
    <row r="31" spans="2:35">
      <c r="B31" s="66">
        <f t="shared" si="3"/>
        <v>6941.1059207265689</v>
      </c>
      <c r="S31" s="19"/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>
        <v>1</v>
      </c>
      <c r="AH31">
        <v>1</v>
      </c>
      <c r="AI31">
        <v>1</v>
      </c>
    </row>
    <row r="32" spans="2:35">
      <c r="B32" s="66">
        <f t="shared" si="3"/>
        <v>7288.1612167628973</v>
      </c>
      <c r="S32" s="19"/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>
        <v>1</v>
      </c>
      <c r="AH32">
        <v>1</v>
      </c>
      <c r="AI32">
        <v>1</v>
      </c>
    </row>
    <row r="33" spans="2:35">
      <c r="B33" s="66">
        <f t="shared" si="3"/>
        <v>7652.5692776010419</v>
      </c>
      <c r="S33" s="19"/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v>1</v>
      </c>
      <c r="AI33">
        <v>1</v>
      </c>
    </row>
    <row r="34" spans="2:35">
      <c r="B34" s="66">
        <f t="shared" si="3"/>
        <v>8035.1977414810935</v>
      </c>
      <c r="S34" s="19"/>
      <c r="AB34">
        <v>1</v>
      </c>
      <c r="AC34">
        <v>1</v>
      </c>
      <c r="AD34">
        <v>1</v>
      </c>
      <c r="AE34">
        <v>1</v>
      </c>
      <c r="AF34">
        <v>1</v>
      </c>
      <c r="AG34">
        <v>1</v>
      </c>
      <c r="AH34">
        <v>1</v>
      </c>
      <c r="AI34">
        <v>1</v>
      </c>
    </row>
    <row r="35" spans="2:35">
      <c r="B35" s="66">
        <f t="shared" si="3"/>
        <v>8436.9576285551484</v>
      </c>
      <c r="S35" s="19"/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</row>
    <row r="36" spans="2:35">
      <c r="B36" s="66">
        <f t="shared" si="3"/>
        <v>8858.8055099829053</v>
      </c>
      <c r="S36" s="19"/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</row>
    <row r="37" spans="2:35">
      <c r="B37" s="66">
        <f t="shared" si="3"/>
        <v>9301.7457854820514</v>
      </c>
      <c r="S37" s="19"/>
      <c r="AE37">
        <v>1</v>
      </c>
      <c r="AF37">
        <v>1</v>
      </c>
      <c r="AG37">
        <v>1</v>
      </c>
      <c r="AH37">
        <v>1</v>
      </c>
      <c r="AI37">
        <v>1</v>
      </c>
    </row>
    <row r="40" spans="2:35">
      <c r="B40" s="20" t="s">
        <v>103</v>
      </c>
      <c r="C40">
        <v>2976</v>
      </c>
    </row>
    <row r="41" spans="2:35">
      <c r="B41" s="20" t="s">
        <v>13</v>
      </c>
      <c r="C41" s="65">
        <v>3037</v>
      </c>
    </row>
    <row r="42" spans="2:35">
      <c r="C42" s="6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NS">
                <anchor moveWithCells="1" sizeWithCells="1">
                  <from>
                    <xdr:col>4</xdr:col>
                    <xdr:colOff>609600</xdr:colOff>
                    <xdr:row>38</xdr:row>
                    <xdr:rowOff>167640</xdr:rowOff>
                  </from>
                  <to>
                    <xdr:col>8</xdr:col>
                    <xdr:colOff>274320</xdr:colOff>
                    <xdr:row>41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D221E-A571-43F3-A2E0-0A2F94B8E372}">
  <sheetPr codeName="Folha7"/>
  <dimension ref="A1"/>
  <sheetViews>
    <sheetView tabSelected="1" workbookViewId="0">
      <selection activeCell="M12" sqref="M12"/>
    </sheetView>
  </sheetViews>
  <sheetFormatPr defaultRowHeight="14.4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23B3C87-1139-4D03-A641-E4348DFCBC0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8</vt:i4>
      </vt:variant>
    </vt:vector>
  </HeadingPairs>
  <TitlesOfParts>
    <vt:vector size="8" baseType="lpstr">
      <vt:lpstr>Capa</vt:lpstr>
      <vt:lpstr>Atual-N.Encomenda</vt:lpstr>
      <vt:lpstr>TabelaProcuras</vt:lpstr>
      <vt:lpstr>Política(s,S)</vt:lpstr>
      <vt:lpstr>Modelo de Simulação</vt:lpstr>
      <vt:lpstr>Simulações de s e S - CT</vt:lpstr>
      <vt:lpstr>Simulações de s e S - NS</vt:lpstr>
      <vt:lpstr>Análise Estatística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Raquel Costa</dc:creator>
  <cp:lastModifiedBy>Raquel Costa</cp:lastModifiedBy>
  <cp:lastPrinted>2021-04-20T15:11:33Z</cp:lastPrinted>
  <dcterms:created xsi:type="dcterms:W3CDTF">2021-04-18T17:24:10Z</dcterms:created>
  <dcterms:modified xsi:type="dcterms:W3CDTF">2021-04-26T22:52:32Z</dcterms:modified>
</cp:coreProperties>
</file>